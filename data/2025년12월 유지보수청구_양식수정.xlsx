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유지보수\2025 유지보수 청구내역\"/>
    </mc:Choice>
  </mc:AlternateContent>
  <xr:revisionPtr revIDLastSave="0" documentId="13_ncr:1_{008764E2-5275-449B-9A1A-68AC72394B7A}" xr6:coauthVersionLast="47" xr6:coauthVersionMax="47" xr10:uidLastSave="{00000000-0000-0000-0000-000000000000}"/>
  <bookViews>
    <workbookView showHorizontalScroll="0" showVerticalScroll="0" xWindow="-120" yWindow="-120" windowWidth="29040" windowHeight="15225" xr2:uid="{00000000-000D-0000-FFFF-FFFF00000000}"/>
  </bookViews>
  <sheets>
    <sheet name="매월 유지보수" sheetId="66" r:id="rId1"/>
    <sheet name="해지정리" sheetId="102" r:id="rId2"/>
    <sheet name="진두(IS)" sheetId="82" state="hidden" r:id="rId3"/>
    <sheet name="10월 유지보수증감 (2)" sheetId="97" state="hidden" r:id="rId4"/>
    <sheet name="9월 유지보수증감" sheetId="24" state="hidden" r:id="rId5"/>
    <sheet name="2014년만기" sheetId="5" state="hidden" r:id="rId6"/>
  </sheets>
  <definedNames>
    <definedName name="_xlnm._FilterDatabase" localSheetId="0" hidden="1">'매월 유지보수'!$A$2:$AC$143</definedName>
    <definedName name="_xlnm.Database">#REF!</definedName>
    <definedName name="_xlnm.Print_Area" localSheetId="0">'매월 유지보수'!$B$1:$V$60</definedName>
    <definedName name="자금흐름">#REF!</definedName>
    <definedName name="자금흐름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24" i="66" l="1"/>
  <c r="P25" i="66"/>
  <c r="P124" i="66" s="1"/>
  <c r="Q123" i="66"/>
  <c r="Q122" i="66"/>
  <c r="Q121" i="66"/>
  <c r="Q120" i="66"/>
  <c r="Q119" i="66"/>
  <c r="Q118" i="66"/>
  <c r="Q117" i="66"/>
  <c r="Q116" i="66"/>
  <c r="Q115" i="66"/>
  <c r="Q114" i="66"/>
  <c r="Q113" i="66"/>
  <c r="Q112" i="66"/>
  <c r="Q111" i="66"/>
  <c r="Q110" i="66"/>
  <c r="Q109" i="66"/>
  <c r="Q108" i="66"/>
  <c r="Q107" i="66"/>
  <c r="Q106" i="66"/>
  <c r="Q105" i="66"/>
  <c r="Q104" i="66"/>
  <c r="Q103" i="66"/>
  <c r="Q102" i="66"/>
  <c r="Q101" i="66"/>
  <c r="Q100" i="66"/>
  <c r="Q99" i="66"/>
  <c r="Q98" i="66"/>
  <c r="Q97" i="66"/>
  <c r="Q96" i="66"/>
  <c r="Q95" i="66"/>
  <c r="Q94" i="66"/>
  <c r="Q93" i="66"/>
  <c r="Q92" i="66"/>
  <c r="Q91" i="66"/>
  <c r="Q90" i="66"/>
  <c r="Q89" i="66"/>
  <c r="Q88" i="66"/>
  <c r="Q87" i="66"/>
  <c r="Q86" i="66"/>
  <c r="Q85" i="66"/>
  <c r="Q84" i="66"/>
  <c r="Q83" i="66"/>
  <c r="Q82" i="66"/>
  <c r="Q81" i="66"/>
  <c r="Q80" i="66"/>
  <c r="Q79" i="66"/>
  <c r="Q78" i="66"/>
  <c r="Q77" i="66"/>
  <c r="Q76" i="66"/>
  <c r="Q75" i="66"/>
  <c r="Q74" i="66"/>
  <c r="Q73" i="66"/>
  <c r="Q72" i="66"/>
  <c r="Q71" i="66"/>
  <c r="Q70" i="66"/>
  <c r="Q69" i="66"/>
  <c r="Q68" i="66"/>
  <c r="Q67" i="66"/>
  <c r="Q66" i="66"/>
  <c r="Q65" i="66"/>
  <c r="Q64" i="66"/>
  <c r="Q63" i="66"/>
  <c r="Q62" i="66"/>
  <c r="Q61" i="66"/>
  <c r="Q60" i="66"/>
  <c r="Q59" i="66"/>
  <c r="Q58" i="66"/>
  <c r="Q57" i="66"/>
  <c r="Q56" i="66"/>
  <c r="Q55" i="66"/>
  <c r="Q54" i="66"/>
  <c r="Q53" i="66"/>
  <c r="Q52" i="66"/>
  <c r="P51" i="66"/>
  <c r="Q51" i="66" s="1"/>
  <c r="Q50" i="66"/>
  <c r="Q49" i="66"/>
  <c r="Q48" i="66"/>
  <c r="Q47" i="66"/>
  <c r="Q46" i="66"/>
  <c r="Q45" i="66"/>
  <c r="Q44" i="66"/>
  <c r="Q43" i="66"/>
  <c r="Q42" i="66"/>
  <c r="Q41" i="66"/>
  <c r="Q40" i="66"/>
  <c r="Q39" i="66"/>
  <c r="Q38" i="66"/>
  <c r="Q37" i="66"/>
  <c r="Q36" i="66"/>
  <c r="Q35" i="66"/>
  <c r="Q34" i="66"/>
  <c r="Q33" i="66"/>
  <c r="Q32" i="66"/>
  <c r="Q31" i="66"/>
  <c r="Q30" i="66"/>
  <c r="Q29" i="66"/>
  <c r="Q28" i="66"/>
  <c r="Q27" i="66"/>
  <c r="Q26" i="66"/>
  <c r="Q24" i="66"/>
  <c r="Q23" i="66"/>
  <c r="Q22" i="66"/>
  <c r="Q21" i="66"/>
  <c r="Q20" i="66"/>
  <c r="Q19" i="66"/>
  <c r="Q18" i="66"/>
  <c r="Q17" i="66"/>
  <c r="Q16" i="66"/>
  <c r="Q15" i="66"/>
  <c r="Q14" i="66"/>
  <c r="Q13" i="66"/>
  <c r="Q12" i="66"/>
  <c r="Q11" i="66"/>
  <c r="Q10" i="66"/>
  <c r="Q9" i="66"/>
  <c r="Q8" i="66"/>
  <c r="Q7" i="66"/>
  <c r="Q6" i="66"/>
  <c r="Q5" i="66"/>
  <c r="Q4" i="66"/>
  <c r="Q3" i="66"/>
  <c r="J32" i="66"/>
  <c r="M32" i="66" s="1"/>
  <c r="Q25" i="66" l="1"/>
  <c r="Q124" i="66" s="1"/>
  <c r="H104" i="102"/>
  <c r="H103" i="102"/>
  <c r="H102" i="102"/>
  <c r="H101" i="102"/>
  <c r="H100" i="102" l="1"/>
  <c r="J123" i="66" l="1"/>
  <c r="M123" i="66" s="1"/>
  <c r="H99" i="102"/>
  <c r="F99" i="102"/>
  <c r="J76" i="66" l="1"/>
  <c r="H98" i="102" l="1"/>
  <c r="K41" i="66" l="1"/>
  <c r="M122" i="66" l="1"/>
  <c r="H97" i="102" l="1"/>
  <c r="M117" i="66" l="1"/>
  <c r="M111" i="66" l="1"/>
  <c r="H96" i="102" l="1"/>
  <c r="J67" i="66"/>
  <c r="M121" i="66" l="1"/>
  <c r="K99" i="66" l="1"/>
  <c r="J41" i="66" l="1"/>
  <c r="K25" i="66" l="1"/>
  <c r="J77" i="66" l="1"/>
  <c r="J120" i="66" l="1"/>
  <c r="M120" i="66" l="1"/>
  <c r="K63" i="66" l="1"/>
  <c r="M118" i="66" l="1"/>
  <c r="M119" i="66"/>
  <c r="H95" i="102"/>
  <c r="J74" i="66" l="1"/>
  <c r="J114" i="66"/>
  <c r="H94" i="102" l="1"/>
  <c r="H93" i="102"/>
  <c r="M113" i="66"/>
  <c r="J48" i="66" l="1"/>
  <c r="J86" i="66" l="1"/>
  <c r="J98" i="66" l="1"/>
  <c r="J82" i="66"/>
  <c r="J110" i="66"/>
  <c r="M116" i="66" l="1"/>
  <c r="J81" i="66" l="1"/>
  <c r="M81" i="66" l="1"/>
  <c r="M115" i="66" l="1"/>
  <c r="J87" i="66" l="1"/>
  <c r="H92" i="102" l="1"/>
  <c r="F91" i="102"/>
  <c r="H91" i="102" s="1"/>
  <c r="M110" i="66" l="1"/>
  <c r="M109" i="66"/>
  <c r="M108" i="66"/>
  <c r="M106" i="66"/>
  <c r="M105" i="66"/>
  <c r="M104" i="66"/>
  <c r="M101" i="66"/>
  <c r="M100" i="66"/>
  <c r="M94" i="66"/>
  <c r="M93" i="66"/>
  <c r="M92" i="66"/>
  <c r="M89" i="66"/>
  <c r="M86" i="66"/>
  <c r="M85" i="66"/>
  <c r="M84" i="66"/>
  <c r="M82" i="66"/>
  <c r="M79" i="66"/>
  <c r="M76" i="66"/>
  <c r="M74" i="66"/>
  <c r="M72" i="66"/>
  <c r="M71" i="66"/>
  <c r="M69" i="66"/>
  <c r="M68" i="66"/>
  <c r="M65" i="66"/>
  <c r="M64" i="66"/>
  <c r="M62" i="66"/>
  <c r="M60" i="66"/>
  <c r="M57" i="66"/>
  <c r="M56" i="66"/>
  <c r="M55" i="66"/>
  <c r="M54" i="66"/>
  <c r="M52" i="66"/>
  <c r="M48" i="66"/>
  <c r="M45" i="66"/>
  <c r="M44" i="66"/>
  <c r="M43" i="66"/>
  <c r="M42" i="66"/>
  <c r="M40" i="66"/>
  <c r="M39" i="66"/>
  <c r="M36" i="66"/>
  <c r="M35" i="66"/>
  <c r="M34" i="66"/>
  <c r="M31" i="66"/>
  <c r="M28" i="66"/>
  <c r="M26" i="66"/>
  <c r="M24" i="66"/>
  <c r="M22" i="66"/>
  <c r="M21" i="66"/>
  <c r="M20" i="66"/>
  <c r="M19" i="66"/>
  <c r="M18" i="66"/>
  <c r="M17" i="66"/>
  <c r="M16" i="66"/>
  <c r="M13" i="66"/>
  <c r="M12" i="66"/>
  <c r="M11" i="66"/>
  <c r="M10" i="66"/>
  <c r="M7" i="66"/>
  <c r="M6" i="66"/>
  <c r="M4" i="66"/>
  <c r="M3" i="66"/>
  <c r="F90" i="102" l="1"/>
  <c r="H90" i="102" s="1"/>
  <c r="H89" i="102" l="1"/>
  <c r="K87" i="66" l="1"/>
  <c r="H88" i="102" l="1"/>
  <c r="H87" i="102"/>
  <c r="H86" i="102"/>
  <c r="H85" i="102"/>
  <c r="F84" i="102"/>
  <c r="H84" i="102" s="1"/>
  <c r="M114" i="66" l="1"/>
  <c r="M112" i="66"/>
  <c r="M63" i="66" l="1"/>
  <c r="G83" i="102" l="1"/>
  <c r="H83" i="102" s="1"/>
  <c r="J107" i="66" l="1"/>
  <c r="M107" i="66" l="1"/>
  <c r="K51" i="66"/>
  <c r="M51" i="66" s="1"/>
  <c r="J95" i="66" l="1"/>
  <c r="M25" i="66"/>
  <c r="M95" i="66" l="1"/>
  <c r="H82" i="102"/>
  <c r="J91" i="66" l="1"/>
  <c r="M91" i="66" l="1"/>
  <c r="J103" i="66"/>
  <c r="M103" i="66" l="1"/>
  <c r="M99" i="66"/>
  <c r="J49" i="66" l="1"/>
  <c r="M49" i="66" l="1"/>
  <c r="F81" i="102"/>
  <c r="H81" i="102" s="1"/>
  <c r="Q147" i="66" l="1"/>
  <c r="M67" i="66" l="1"/>
  <c r="H80" i="102" l="1"/>
  <c r="H79" i="102"/>
  <c r="H78" i="102" l="1"/>
  <c r="M23" i="66" l="1"/>
  <c r="J102" i="66" l="1"/>
  <c r="M102" i="66" l="1"/>
  <c r="H77" i="102"/>
  <c r="J83" i="66" l="1"/>
  <c r="J70" i="66"/>
  <c r="M83" i="66" l="1"/>
  <c r="M70" i="66"/>
  <c r="J80" i="66"/>
  <c r="H76" i="102" l="1"/>
  <c r="J88" i="66" l="1"/>
  <c r="M88" i="66" l="1"/>
  <c r="M87" i="66"/>
  <c r="M98" i="66"/>
  <c r="M97" i="66" l="1"/>
  <c r="H75" i="102" l="1"/>
  <c r="J96" i="66" l="1"/>
  <c r="M96" i="66" l="1"/>
  <c r="H74" i="102"/>
  <c r="M46" i="66"/>
  <c r="M41" i="66"/>
  <c r="H73" i="102" l="1"/>
  <c r="H72" i="102"/>
  <c r="J53" i="66" l="1"/>
  <c r="M53" i="66" l="1"/>
  <c r="J75" i="66" l="1"/>
  <c r="M75" i="66" l="1"/>
  <c r="J47" i="66"/>
  <c r="M47" i="66" l="1"/>
  <c r="K50" i="66" l="1"/>
  <c r="M50" i="66" s="1"/>
  <c r="J14" i="66" l="1"/>
  <c r="M14" i="66" l="1"/>
  <c r="J8" i="66" l="1"/>
  <c r="M8" i="66" l="1"/>
  <c r="J27" i="66" l="1"/>
  <c r="H71" i="102"/>
  <c r="M27" i="66" l="1"/>
  <c r="H70" i="102"/>
  <c r="H69" i="102" l="1"/>
  <c r="H68" i="102" l="1"/>
  <c r="M90" i="66" l="1"/>
  <c r="H67" i="102" l="1"/>
  <c r="H66" i="102"/>
  <c r="H65" i="102" l="1"/>
  <c r="J73" i="66" l="1"/>
  <c r="M73" i="66" l="1"/>
  <c r="H64" i="102"/>
  <c r="M61" i="66" l="1"/>
  <c r="H63" i="102" l="1"/>
  <c r="H62" i="102" l="1"/>
  <c r="H61" i="102" l="1"/>
  <c r="H60" i="102" l="1"/>
  <c r="D15" i="24" l="1"/>
  <c r="D13" i="24"/>
  <c r="D15" i="97"/>
  <c r="D13" i="97"/>
  <c r="J8" i="82"/>
  <c r="H8" i="82"/>
  <c r="K5" i="82"/>
  <c r="J5" i="82"/>
  <c r="K4" i="82"/>
  <c r="J4" i="82"/>
  <c r="K3" i="82"/>
  <c r="J3" i="82"/>
  <c r="K2" i="82"/>
  <c r="J2" i="82"/>
  <c r="H59" i="102"/>
  <c r="H58" i="102"/>
  <c r="H57" i="102"/>
  <c r="H56" i="102"/>
  <c r="H54" i="102"/>
  <c r="H53" i="102"/>
  <c r="H52" i="102"/>
  <c r="H51" i="102"/>
  <c r="H50" i="102"/>
  <c r="H49" i="102"/>
  <c r="H48" i="102"/>
  <c r="H47" i="102"/>
  <c r="H46" i="102"/>
  <c r="H45" i="102"/>
  <c r="H44" i="102"/>
  <c r="H43" i="102"/>
  <c r="H42" i="102"/>
  <c r="H41" i="102"/>
  <c r="H40" i="102"/>
  <c r="G35" i="102"/>
  <c r="H35" i="102" s="1"/>
  <c r="H34" i="102"/>
  <c r="H33" i="102"/>
  <c r="H32" i="102"/>
  <c r="H31" i="102"/>
  <c r="H30" i="102"/>
  <c r="H29" i="102"/>
  <c r="H28" i="102"/>
  <c r="H27" i="102"/>
  <c r="H26" i="102"/>
  <c r="H25" i="102"/>
  <c r="H24" i="102"/>
  <c r="H23" i="102"/>
  <c r="H22" i="102"/>
  <c r="H21" i="102"/>
  <c r="H20" i="102"/>
  <c r="H19" i="102"/>
  <c r="H18" i="102"/>
  <c r="H17" i="102"/>
  <c r="H16" i="102"/>
  <c r="H15" i="102"/>
  <c r="H14" i="102"/>
  <c r="H13" i="102"/>
  <c r="H12" i="102"/>
  <c r="H11" i="102"/>
  <c r="H10" i="102"/>
  <c r="H9" i="102"/>
  <c r="H8" i="102"/>
  <c r="H7" i="102"/>
  <c r="H6" i="102"/>
  <c r="H5" i="102"/>
  <c r="M80" i="66"/>
  <c r="J78" i="66"/>
  <c r="M77" i="66"/>
  <c r="J66" i="66"/>
  <c r="K59" i="66"/>
  <c r="M59" i="66" s="1"/>
  <c r="M58" i="66"/>
  <c r="J38" i="66"/>
  <c r="J37" i="66"/>
  <c r="J33" i="66"/>
  <c r="J30" i="66"/>
  <c r="J29" i="66"/>
  <c r="M15" i="66"/>
  <c r="J9" i="66"/>
  <c r="K5" i="66"/>
  <c r="K124" i="66" s="1"/>
  <c r="J5" i="66"/>
  <c r="J124" i="66" s="1"/>
  <c r="M78" i="66" l="1"/>
  <c r="M38" i="66"/>
  <c r="M37" i="66"/>
  <c r="M33" i="66"/>
  <c r="M30" i="66"/>
  <c r="M29" i="66"/>
  <c r="M66" i="66"/>
  <c r="M9" i="66"/>
  <c r="M5" i="66"/>
  <c r="M124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susu</author>
    <author>이 경임</author>
    <author>한미</author>
    <author>sgkang</author>
    <author>gssong</author>
  </authors>
  <commentList>
    <comment ref="J5" authorId="0" shapeId="0" xr:uid="{8AB9AD3D-AC4C-494B-AA6D-AB36FC71BAD1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22.06~ 20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17</t>
        </r>
        <r>
          <rPr>
            <sz val="9"/>
            <color indexed="81"/>
            <rFont val="돋움"/>
            <family val="3"/>
            <charset val="129"/>
          </rPr>
          <t>만원으로</t>
        </r>
      </text>
    </comment>
    <comment ref="K5" authorId="1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유니파이(블루웹)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5일 카드 자동이체됨(21.09~)
매월5%추가할인/
해지시 꼭 챙기기!
22.05까지, 해지</t>
        </r>
      </text>
    </comment>
    <comment ref="J9" authorId="0" shapeId="0" xr:uid="{D8A9FD55-724E-4061-82C6-2A63BCDCD087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22.07</t>
        </r>
        <r>
          <rPr>
            <sz val="9"/>
            <color indexed="81"/>
            <rFont val="돋움"/>
            <family val="3"/>
            <charset val="129"/>
          </rPr>
          <t>분부터</t>
        </r>
        <r>
          <rPr>
            <sz val="9"/>
            <color indexed="81"/>
            <rFont val="Tahoma"/>
            <family val="2"/>
          </rPr>
          <t xml:space="preserve"> 35-&gt;30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K12" authorId="1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신월드</t>
        </r>
      </text>
    </comment>
    <comment ref="R16" authorId="2" shapeId="0" xr:uid="{62C618FD-E9A6-42DB-B912-CAB39A70102E}">
      <text>
        <r>
          <rPr>
            <b/>
            <sz val="9"/>
            <color indexed="81"/>
            <rFont val="돋움"/>
            <family val="3"/>
            <charset val="129"/>
          </rPr>
          <t>한미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2024</t>
        </r>
        <r>
          <rPr>
            <sz val="9"/>
            <color indexed="81"/>
            <rFont val="돋움"/>
            <family val="3"/>
            <charset val="129"/>
          </rPr>
          <t>년부터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K19" authorId="1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신월드</t>
        </r>
      </text>
    </comment>
    <comment ref="E25" authorId="3" shapeId="0" xr:uid="{E076F544-5CC1-4709-BD88-24ED47AA2DDF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고객사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에스케이브로드밴드</t>
        </r>
      </text>
    </comment>
    <comment ref="J25" authorId="3" shapeId="0" xr:uid="{12CA838C-6C48-43AE-BCB8-53B40936C476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25.01~25.07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-35,000,000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-&gt; 24.12 </t>
        </r>
        <r>
          <rPr>
            <sz val="9"/>
            <color indexed="81"/>
            <rFont val="돋움"/>
            <family val="3"/>
            <charset val="129"/>
          </rPr>
          <t xml:space="preserve">선발행
</t>
        </r>
        <r>
          <rPr>
            <sz val="9"/>
            <color indexed="81"/>
            <rFont val="Tahoma"/>
            <family val="2"/>
          </rPr>
          <t xml:space="preserve">25.01~25.07 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40,820,000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(12/24 </t>
        </r>
        <r>
          <rPr>
            <sz val="9"/>
            <color indexed="81"/>
            <rFont val="돋움"/>
            <family val="3"/>
            <charset val="129"/>
          </rPr>
          <t>메일참고</t>
        </r>
        <r>
          <rPr>
            <sz val="9"/>
            <color indexed="81"/>
            <rFont val="Tahoma"/>
            <family val="2"/>
          </rPr>
          <t>)</t>
        </r>
      </text>
    </comment>
    <comment ref="K25" authorId="1" shapeId="0" xr:uid="{0B8FF111-0FA7-4878-8877-9E03B0DCAF9C}">
      <text>
        <r>
          <rPr>
            <b/>
            <sz val="11"/>
            <color indexed="81"/>
            <rFont val="돋움"/>
            <family val="3"/>
            <charset val="129"/>
          </rPr>
          <t>8업체
제이넷시스템즈 3,420,000
모음커뮤니케이션 3,080,000
에이텍정보통신 500,000
효성인포메이션 450,000
시스원 700,000
윈씨엔에스 2,000,000
오픈베이스 840,000
미정 10,000,000</t>
        </r>
      </text>
    </comment>
    <comment ref="P25" authorId="1" shapeId="0" xr:uid="{704A5FD4-C3E9-4DB5-BDC5-47B5143B2FA8}">
      <text>
        <r>
          <rPr>
            <b/>
            <sz val="11"/>
            <color indexed="81"/>
            <rFont val="돋움"/>
            <family val="3"/>
            <charset val="129"/>
          </rPr>
          <t>8업체
제이넷시스템즈 3,420,000
모음커뮤니케이션 3,080,000
에이텍정보통신 500,000
효성인포메이션 450,000
시스원 700,000
윈씨엔에스 2,000,000
오픈베이스 840,000
미정 10,000,000</t>
        </r>
      </text>
    </comment>
    <comment ref="G27" authorId="3" shapeId="0" xr:uid="{EA385EE4-85CD-4059-8E80-6DBA4E72CCF3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4/29~5/28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5/15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28" authorId="0" shapeId="0" xr:uid="{413E33FC-CBF9-4073-AB51-C23933764022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20.01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-&gt;10</t>
        </r>
        <r>
          <rPr>
            <sz val="9"/>
            <color indexed="81"/>
            <rFont val="돋움"/>
            <family val="3"/>
            <charset val="129"/>
          </rPr>
          <t>만원으로</t>
        </r>
      </text>
    </comment>
    <comment ref="H29" authorId="4" shapeId="0" xr:uid="{00000000-0006-0000-0000-000011000000}">
      <text>
        <r>
          <rPr>
            <b/>
            <sz val="9"/>
            <color indexed="81"/>
            <rFont val="돋움"/>
            <family val="3"/>
            <charset val="129"/>
          </rPr>
          <t>재계약
2021.02~부터 5만원(부가별도) 재계약했는데,
2월분은 이미 기존금액(48만원,부가별도)으로 발행함
웨스트 쪽에서 이미 발행한 2월분은 그냥 무시하고 진행해달라고 요청</t>
        </r>
      </text>
    </comment>
    <comment ref="J29" authorId="0" shapeId="0" xr:uid="{F9E10844-0406-43C4-B5E5-5A24811368A9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21.03~ 48</t>
        </r>
        <r>
          <rPr>
            <sz val="9"/>
            <color indexed="81"/>
            <rFont val="돋움"/>
            <family val="3"/>
            <charset val="129"/>
          </rPr>
          <t>만원에서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만원으로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30" authorId="0" shapeId="0" xr:uid="{066D8962-B5E7-4715-AEA6-DC47D538453D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21.04.07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>만원으로</t>
        </r>
      </text>
    </comment>
    <comment ref="K33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6/30 </t>
        </r>
        <r>
          <rPr>
            <b/>
            <sz val="9"/>
            <color indexed="81"/>
            <rFont val="돋움"/>
            <family val="3"/>
            <charset val="129"/>
          </rPr>
          <t xml:space="preserve">이하이테크
</t>
        </r>
        <r>
          <rPr>
            <b/>
            <sz val="9"/>
            <color indexed="81"/>
            <rFont val="Tahoma"/>
            <family val="2"/>
          </rPr>
          <t>HP StorageWorks 8/8 SAN Switch-Care Pack
\518,000 (1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J34" authorId="0" shapeId="0" xr:uid="{E235717A-7F3A-48FA-AAC8-0C6A73A6FB19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만원에서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만원으로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  <comment ref="K35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16' 2/1 </t>
        </r>
        <r>
          <rPr>
            <b/>
            <sz val="9"/>
            <color indexed="81"/>
            <rFont val="돋움"/>
            <family val="3"/>
            <charset val="129"/>
          </rPr>
          <t xml:space="preserve">이비웨이브
</t>
        </r>
        <r>
          <rPr>
            <b/>
            <sz val="9"/>
            <color indexed="81"/>
            <rFont val="Tahoma"/>
            <family val="2"/>
          </rPr>
          <t xml:space="preserve">Dell 9W5WV 1TB 7.2K 6G SAS 2.5inch Hard
\1,400,000
16' 3/10 </t>
        </r>
        <r>
          <rPr>
            <b/>
            <sz val="9"/>
            <color indexed="81"/>
            <rFont val="돋움"/>
            <family val="3"/>
            <charset val="129"/>
          </rPr>
          <t xml:space="preserve">소프트베르크
</t>
        </r>
        <r>
          <rPr>
            <b/>
            <sz val="9"/>
            <color indexed="81"/>
            <rFont val="Tahoma"/>
            <family val="2"/>
          </rPr>
          <t>Acronis Backup for Windows Server (v11.5
\900,000</t>
        </r>
      </text>
    </comment>
    <comment ref="J38" authorId="0" shapeId="0" xr:uid="{152D8729-B269-4C7B-AE04-40B0D41FC6FB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2017.03~2020.10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600,000
2020.11~ 950,000</t>
        </r>
      </text>
    </comment>
    <comment ref="K41" authorId="4" shapeId="0" xr:uid="{BF9CD644-37D4-4D30-9A4A-FC02520F8AFB}">
      <text>
        <r>
          <rPr>
            <b/>
            <sz val="9"/>
            <color indexed="81"/>
            <rFont val="Tahoma"/>
            <family val="2"/>
          </rPr>
          <t>14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인성정보</t>
        </r>
        <r>
          <rPr>
            <b/>
            <sz val="9"/>
            <color indexed="81"/>
            <rFont val="Tahoma"/>
            <family val="2"/>
          </rPr>
          <t xml:space="preserve"> 9,165,000
</t>
        </r>
        <r>
          <rPr>
            <b/>
            <sz val="9"/>
            <color indexed="81"/>
            <rFont val="돋움"/>
            <family val="3"/>
            <charset val="129"/>
          </rPr>
          <t>로이트테크</t>
        </r>
        <r>
          <rPr>
            <b/>
            <sz val="9"/>
            <color indexed="81"/>
            <rFont val="Tahoma"/>
            <family val="2"/>
          </rPr>
          <t xml:space="preserve"> 700,000
</t>
        </r>
        <r>
          <rPr>
            <b/>
            <sz val="9"/>
            <color indexed="81"/>
            <rFont val="돋움"/>
            <family val="3"/>
            <charset val="129"/>
          </rPr>
          <t>서우시스템즈</t>
        </r>
        <r>
          <rPr>
            <b/>
            <sz val="9"/>
            <color indexed="81"/>
            <rFont val="Tahoma"/>
            <family val="2"/>
          </rPr>
          <t xml:space="preserve"> 1,500,000
</t>
        </r>
        <r>
          <rPr>
            <b/>
            <sz val="9"/>
            <color indexed="81"/>
            <rFont val="돋움"/>
            <family val="3"/>
            <charset val="129"/>
          </rPr>
          <t>콤텍시스템</t>
        </r>
        <r>
          <rPr>
            <b/>
            <sz val="9"/>
            <color indexed="81"/>
            <rFont val="Tahoma"/>
            <family val="2"/>
          </rPr>
          <t xml:space="preserve"> 500,000
</t>
        </r>
        <r>
          <rPr>
            <b/>
            <sz val="9"/>
            <color indexed="81"/>
            <rFont val="돋움"/>
            <family val="3"/>
            <charset val="129"/>
          </rPr>
          <t>윈설트</t>
        </r>
        <r>
          <rPr>
            <b/>
            <sz val="9"/>
            <color indexed="81"/>
            <rFont val="Tahoma"/>
            <family val="2"/>
          </rPr>
          <t xml:space="preserve"> 1,953,000
</t>
        </r>
        <r>
          <rPr>
            <b/>
            <sz val="9"/>
            <color indexed="81"/>
            <rFont val="돋움"/>
            <family val="3"/>
            <charset val="129"/>
          </rPr>
          <t>커넥스</t>
        </r>
        <r>
          <rPr>
            <b/>
            <sz val="9"/>
            <color indexed="81"/>
            <rFont val="Tahoma"/>
            <family val="2"/>
          </rPr>
          <t xml:space="preserve"> 7,990,000
</t>
        </r>
        <r>
          <rPr>
            <b/>
            <sz val="9"/>
            <color indexed="81"/>
            <rFont val="돋움"/>
            <family val="3"/>
            <charset val="129"/>
          </rPr>
          <t>라이버스넷</t>
        </r>
        <r>
          <rPr>
            <b/>
            <sz val="9"/>
            <color indexed="81"/>
            <rFont val="Tahoma"/>
            <family val="2"/>
          </rPr>
          <t xml:space="preserve"> 5,590,584
</t>
        </r>
        <r>
          <rPr>
            <b/>
            <sz val="9"/>
            <color indexed="81"/>
            <rFont val="돋움"/>
            <family val="3"/>
            <charset val="129"/>
          </rPr>
          <t>제이넷시템즈</t>
        </r>
        <r>
          <rPr>
            <b/>
            <sz val="9"/>
            <color indexed="81"/>
            <rFont val="Tahoma"/>
            <family val="2"/>
          </rPr>
          <t xml:space="preserve"> 1,000,000
</t>
        </r>
        <r>
          <rPr>
            <b/>
            <sz val="9"/>
            <color indexed="81"/>
            <rFont val="돋움"/>
            <family val="3"/>
            <charset val="129"/>
          </rPr>
          <t>솔루텍</t>
        </r>
        <r>
          <rPr>
            <b/>
            <sz val="9"/>
            <color indexed="81"/>
            <rFont val="Tahoma"/>
            <family val="2"/>
          </rPr>
          <t xml:space="preserve"> 212,500
</t>
        </r>
        <r>
          <rPr>
            <b/>
            <sz val="9"/>
            <color indexed="81"/>
            <rFont val="돋움"/>
            <family val="3"/>
            <charset val="129"/>
          </rPr>
          <t>씨큐윈</t>
        </r>
        <r>
          <rPr>
            <b/>
            <sz val="9"/>
            <color indexed="81"/>
            <rFont val="Tahoma"/>
            <family val="2"/>
          </rPr>
          <t xml:space="preserve"> 39,000
</t>
        </r>
        <r>
          <rPr>
            <b/>
            <sz val="9"/>
            <color indexed="81"/>
            <rFont val="돋움"/>
            <family val="3"/>
            <charset val="129"/>
          </rPr>
          <t>스마터존</t>
        </r>
        <r>
          <rPr>
            <b/>
            <sz val="9"/>
            <color indexed="81"/>
            <rFont val="Tahoma"/>
            <family val="2"/>
          </rPr>
          <t xml:space="preserve"> 187,500
</t>
        </r>
        <r>
          <rPr>
            <b/>
            <sz val="9"/>
            <color indexed="81"/>
            <rFont val="돋움"/>
            <family val="3"/>
            <charset val="129"/>
          </rPr>
          <t>인스피언</t>
        </r>
        <r>
          <rPr>
            <b/>
            <sz val="9"/>
            <color indexed="81"/>
            <rFont val="Tahoma"/>
            <family val="2"/>
          </rPr>
          <t xml:space="preserve"> 612,500
</t>
        </r>
        <r>
          <rPr>
            <b/>
            <sz val="9"/>
            <color indexed="81"/>
            <rFont val="돋움"/>
            <family val="3"/>
            <charset val="129"/>
          </rPr>
          <t>한싹</t>
        </r>
        <r>
          <rPr>
            <b/>
            <sz val="9"/>
            <color indexed="81"/>
            <rFont val="Tahoma"/>
            <family val="2"/>
          </rPr>
          <t xml:space="preserve"> 230,000
</t>
        </r>
        <r>
          <rPr>
            <b/>
            <sz val="9"/>
            <color indexed="81"/>
            <rFont val="돋움"/>
            <family val="3"/>
            <charset val="129"/>
          </rPr>
          <t>리드피플</t>
        </r>
        <r>
          <rPr>
            <b/>
            <sz val="9"/>
            <color indexed="81"/>
            <rFont val="Tahoma"/>
            <family val="2"/>
          </rPr>
          <t xml:space="preserve"> 400,000</t>
        </r>
      </text>
    </comment>
    <comment ref="K50" authorId="4" shapeId="0" xr:uid="{00000000-0006-0000-0000-000028000000}">
      <text>
        <r>
          <rPr>
            <b/>
            <sz val="9"/>
            <color indexed="81"/>
            <rFont val="돋움"/>
            <family val="3"/>
            <charset val="129"/>
          </rPr>
          <t>트라이오넷
~23.09까지</t>
        </r>
      </text>
    </comment>
    <comment ref="E51" authorId="0" shapeId="0" xr:uid="{EFC1C30D-1CA6-45F0-B60C-3C9829E16800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~20.06 </t>
        </r>
        <r>
          <rPr>
            <sz val="9"/>
            <color indexed="81"/>
            <rFont val="돋움"/>
            <family val="3"/>
            <charset val="129"/>
          </rPr>
          <t>매그넷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13,180,000 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 xml:space="preserve">)
~20.12 </t>
        </r>
        <r>
          <rPr>
            <sz val="9"/>
            <color indexed="81"/>
            <rFont val="돋움"/>
            <family val="3"/>
            <charset val="129"/>
          </rPr>
          <t>케이지이니시스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 16,467,417 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 xml:space="preserve">)
~21.12 </t>
        </r>
        <r>
          <rPr>
            <sz val="9"/>
            <color indexed="81"/>
            <rFont val="돋움"/>
            <family val="3"/>
            <charset val="129"/>
          </rPr>
          <t>페타바이트
매출</t>
        </r>
        <r>
          <rPr>
            <sz val="9"/>
            <color indexed="81"/>
            <rFont val="Tahoma"/>
            <family val="2"/>
          </rPr>
          <t xml:space="preserve"> 17,000,000(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>)</t>
        </r>
      </text>
    </comment>
    <comment ref="K51" authorId="3" shapeId="0" xr:uid="{5B5D2CDA-84E1-4230-B5D0-07F209FC7308}">
      <text>
        <r>
          <rPr>
            <b/>
            <sz val="9"/>
            <color indexed="81"/>
            <rFont val="Tahoma"/>
            <family val="2"/>
          </rPr>
          <t>sgkang: 5</t>
        </r>
        <r>
          <rPr>
            <b/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돋움"/>
            <family val="3"/>
            <charset val="129"/>
          </rPr>
          <t xml:space="preserve">
제이에스정보시스템</t>
        </r>
        <r>
          <rPr>
            <sz val="9"/>
            <color indexed="81"/>
            <rFont val="Tahoma"/>
            <family val="2"/>
          </rPr>
          <t xml:space="preserve"> 2,500,000</t>
        </r>
        <r>
          <rPr>
            <sz val="9"/>
            <color indexed="81"/>
            <rFont val="돋움"/>
            <family val="3"/>
            <charset val="129"/>
          </rPr>
          <t xml:space="preserve">
티에스라인</t>
        </r>
        <r>
          <rPr>
            <sz val="9"/>
            <color indexed="81"/>
            <rFont val="Tahoma"/>
            <family val="2"/>
          </rPr>
          <t xml:space="preserve"> 4,679,000</t>
        </r>
        <r>
          <rPr>
            <sz val="9"/>
            <color indexed="81"/>
            <rFont val="돋움"/>
            <family val="3"/>
            <charset val="129"/>
          </rPr>
          <t xml:space="preserve">
디에스티</t>
        </r>
        <r>
          <rPr>
            <sz val="9"/>
            <color indexed="81"/>
            <rFont val="Tahoma"/>
            <family val="2"/>
          </rPr>
          <t xml:space="preserve"> 4,132,500
</t>
        </r>
        <r>
          <rPr>
            <sz val="9"/>
            <color indexed="81"/>
            <rFont val="돋움"/>
            <family val="3"/>
            <charset val="129"/>
          </rPr>
          <t>센테리움</t>
        </r>
        <r>
          <rPr>
            <sz val="9"/>
            <color indexed="81"/>
            <rFont val="Tahoma"/>
            <family val="2"/>
          </rPr>
          <t xml:space="preserve"> 500,000</t>
        </r>
        <r>
          <rPr>
            <sz val="9"/>
            <color indexed="81"/>
            <rFont val="돋움"/>
            <family val="3"/>
            <charset val="129"/>
          </rPr>
          <t xml:space="preserve">
시스원</t>
        </r>
        <r>
          <rPr>
            <sz val="9"/>
            <color indexed="81"/>
            <rFont val="Tahoma"/>
            <family val="2"/>
          </rPr>
          <t xml:space="preserve"> 1,480,000</t>
        </r>
      </text>
    </comment>
    <comment ref="N51" authorId="3" shapeId="0" xr:uid="{C1005685-F4F3-4495-B98E-F8AAAFE5538C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http://www.safebill.co.kr
-jngsystem
-</t>
        </r>
        <r>
          <rPr>
            <sz val="9"/>
            <color indexed="81"/>
            <rFont val="돋움"/>
            <family val="3"/>
            <charset val="129"/>
          </rPr>
          <t>에이전트</t>
        </r>
        <r>
          <rPr>
            <sz val="9"/>
            <color indexed="81"/>
            <rFont val="Tahoma"/>
            <family val="2"/>
          </rPr>
          <t>8*</t>
        </r>
      </text>
    </comment>
    <comment ref="P51" authorId="3" shapeId="0" xr:uid="{6EAEE922-E561-412D-B78F-CB2519D1D2FE}">
      <text>
        <r>
          <rPr>
            <b/>
            <sz val="9"/>
            <color indexed="81"/>
            <rFont val="Tahoma"/>
            <family val="2"/>
          </rPr>
          <t>sgkang: 5</t>
        </r>
        <r>
          <rPr>
            <b/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돋움"/>
            <family val="3"/>
            <charset val="129"/>
          </rPr>
          <t xml:space="preserve">
제이에스정보시스템</t>
        </r>
        <r>
          <rPr>
            <sz val="9"/>
            <color indexed="81"/>
            <rFont val="Tahoma"/>
            <family val="2"/>
          </rPr>
          <t xml:space="preserve"> 2,500,000</t>
        </r>
        <r>
          <rPr>
            <sz val="9"/>
            <color indexed="81"/>
            <rFont val="돋움"/>
            <family val="3"/>
            <charset val="129"/>
          </rPr>
          <t xml:space="preserve">
티에스라인</t>
        </r>
        <r>
          <rPr>
            <sz val="9"/>
            <color indexed="81"/>
            <rFont val="Tahoma"/>
            <family val="2"/>
          </rPr>
          <t xml:space="preserve"> 4,679,000</t>
        </r>
        <r>
          <rPr>
            <sz val="9"/>
            <color indexed="81"/>
            <rFont val="돋움"/>
            <family val="3"/>
            <charset val="129"/>
          </rPr>
          <t xml:space="preserve">
디에스티</t>
        </r>
        <r>
          <rPr>
            <sz val="9"/>
            <color indexed="81"/>
            <rFont val="Tahoma"/>
            <family val="2"/>
          </rPr>
          <t xml:space="preserve"> 4,132,500
</t>
        </r>
        <r>
          <rPr>
            <sz val="9"/>
            <color indexed="81"/>
            <rFont val="돋움"/>
            <family val="3"/>
            <charset val="129"/>
          </rPr>
          <t>센테리움</t>
        </r>
        <r>
          <rPr>
            <sz val="9"/>
            <color indexed="81"/>
            <rFont val="Tahoma"/>
            <family val="2"/>
          </rPr>
          <t xml:space="preserve"> 500,000</t>
        </r>
        <r>
          <rPr>
            <sz val="9"/>
            <color indexed="81"/>
            <rFont val="돋움"/>
            <family val="3"/>
            <charset val="129"/>
          </rPr>
          <t xml:space="preserve">
시스원</t>
        </r>
        <r>
          <rPr>
            <sz val="9"/>
            <color indexed="81"/>
            <rFont val="Tahoma"/>
            <family val="2"/>
          </rPr>
          <t xml:space="preserve"> 1,480,000</t>
        </r>
      </text>
    </comment>
    <comment ref="J53" authorId="0" shapeId="0" xr:uid="{75C28271-271D-44D6-ADA0-FEC4AF2477C2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일할계산</t>
        </r>
        <r>
          <rPr>
            <b/>
            <sz val="9"/>
            <color indexed="81"/>
            <rFont val="Tahoma"/>
            <family val="2"/>
          </rPr>
          <t xml:space="preserve"> 712,903
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-31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(17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
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~ 130</t>
        </r>
        <r>
          <rPr>
            <b/>
            <sz val="9"/>
            <color indexed="81"/>
            <rFont val="돋움"/>
            <family val="3"/>
            <charset val="129"/>
          </rPr>
          <t xml:space="preserve">만원
</t>
        </r>
        <r>
          <rPr>
            <b/>
            <sz val="9"/>
            <color indexed="81"/>
            <rFont val="Tahoma"/>
            <family val="2"/>
          </rPr>
          <t>23.12~ 4,760,000</t>
        </r>
      </text>
    </comment>
    <comment ref="J54" authorId="0" shapeId="0" xr:uid="{D3ACCEA1-98B9-42F3-864B-E0652DF2D696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1/15~2/14 2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>'1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55" authorId="0" shapeId="0" xr:uid="{133791A4-C867-4975-BC53-0450E9F8E42E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8/20~8/31 12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38,709
8/15 </t>
        </r>
        <r>
          <rPr>
            <sz val="9"/>
            <color indexed="81"/>
            <rFont val="돋움"/>
            <family val="3"/>
            <charset val="129"/>
          </rPr>
          <t>날짜로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F57" authorId="3" shapeId="0" xr:uid="{1DDC2134-97DF-46BC-9BBD-753DD466C0ED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클라우디움</t>
        </r>
      </text>
    </comment>
    <comment ref="J57" authorId="0" shapeId="0" xr:uid="{18FB9185-61B0-4544-9FC9-5C86A3FEE8AE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3/17~31 15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261,290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3/15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23.03.01~23.03.16 540,000/31*16 278,709
23.03.17~23.03.31 630,000/31*15 304,838
                                 =583,548 3/15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24.03.01~24.03.16 630,000/31*16 325,161
24.03.17~24.03.31 650,000/31*15 314,516
                                 =639,677 3/15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57" authorId="0" shapeId="0" xr:uid="{8DDD745D-42C8-40CD-9267-AE38AAB0C69B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사이버다임</t>
        </r>
        <r>
          <rPr>
            <sz val="9"/>
            <color indexed="81"/>
            <rFont val="Tahoma"/>
            <family val="2"/>
          </rPr>
          <t xml:space="preserve"> 3/17~4/16 4/11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2023.02.17~2023.03.16 500,000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3/11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2023.03.17~2023.03.31 575,000/31*15 278,225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4/10 </t>
        </r>
        <r>
          <rPr>
            <sz val="9"/>
            <color indexed="81"/>
            <rFont val="돋움"/>
            <family val="3"/>
            <charset val="129"/>
          </rPr>
          <t xml:space="preserve">추가발행
</t>
        </r>
        <r>
          <rPr>
            <sz val="9"/>
            <color indexed="81"/>
            <rFont val="Tahoma"/>
            <family val="2"/>
          </rPr>
          <t xml:space="preserve">                                       =778,225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4/1~4/30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4/30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24.03.01~24.03.16 575,000/31*16 296,774
24.03.17~24.03.31 591,667/31*15 286,290
                                 =583,064 3/31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P57" authorId="0" shapeId="0" xr:uid="{C9E960D0-C2B9-40B8-90A5-956A94E8A2E0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사이버다임</t>
        </r>
        <r>
          <rPr>
            <sz val="9"/>
            <color indexed="81"/>
            <rFont val="Tahoma"/>
            <family val="2"/>
          </rPr>
          <t xml:space="preserve"> 3/17~4/16 4/11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2023.02.17~2023.03.16 500,000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3/11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2023.03.17~2023.03.31 575,000/31*15 278,225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4/10 </t>
        </r>
        <r>
          <rPr>
            <sz val="9"/>
            <color indexed="81"/>
            <rFont val="돋움"/>
            <family val="3"/>
            <charset val="129"/>
          </rPr>
          <t xml:space="preserve">추가발행
</t>
        </r>
        <r>
          <rPr>
            <sz val="9"/>
            <color indexed="81"/>
            <rFont val="Tahoma"/>
            <family val="2"/>
          </rPr>
          <t xml:space="preserve">                                       =778,225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4/1~4/30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4/30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24.03.01~24.03.16 575,000/31*16 296,774
24.03.17~24.03.31 591,667/31*15 286,290
                                 =583,064 3/31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59" authorId="0" shapeId="0" xr:uid="{3A829585-0879-45AD-9B90-68F33B061A93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3/12~4/11 3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'3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</t>
        </r>
        <r>
          <rPr>
            <sz val="9"/>
            <color indexed="81"/>
            <rFont val="Tahoma"/>
            <family val="2"/>
          </rPr>
          <t>'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59" authorId="0" shapeId="0" xr:uid="{D5899093-DD97-4401-A82C-6770CD7E8E6D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트라이오넷
</t>
        </r>
      </text>
    </comment>
    <comment ref="P59" authorId="0" shapeId="0" xr:uid="{72A56E2B-6891-4B5A-B7D5-8CBB6B68A3F9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트라이오넷
</t>
        </r>
      </text>
    </comment>
    <comment ref="J60" authorId="0" shapeId="0" xr:uid="{FC02BBE8-C3C1-4BB7-A293-A5CB9F36CC98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3/19~4/18 3</t>
        </r>
        <r>
          <rPr>
            <sz val="9"/>
            <color indexed="81"/>
            <rFont val="돋움"/>
            <family val="3"/>
            <charset val="129"/>
          </rPr>
          <t>월유지보수</t>
        </r>
        <r>
          <rPr>
            <sz val="9"/>
            <color indexed="81"/>
            <rFont val="Tahoma"/>
            <family val="2"/>
          </rPr>
          <t xml:space="preserve"> 3/19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61" authorId="3" shapeId="0" xr:uid="{D92A5DD3-A76A-45B8-8388-297ABA0D56AC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차계약</t>
        </r>
        <r>
          <rPr>
            <sz val="9"/>
            <color indexed="81"/>
            <rFont val="Tahoma"/>
            <family val="2"/>
          </rPr>
          <t xml:space="preserve"> 2021.06.01~2023.01.31
(5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X)
2</t>
        </r>
        <r>
          <rPr>
            <sz val="9"/>
            <color indexed="81"/>
            <rFont val="돋움"/>
            <family val="3"/>
            <charset val="129"/>
          </rPr>
          <t>차계약</t>
        </r>
        <r>
          <rPr>
            <sz val="9"/>
            <color indexed="81"/>
            <rFont val="Tahoma"/>
            <family val="2"/>
          </rPr>
          <t xml:space="preserve"> 2023.02.06~2024.02.05</t>
        </r>
      </text>
    </comment>
    <comment ref="J61" authorId="3" shapeId="0" xr:uid="{8585502D-857B-43D2-87F8-5EC20C726F9B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23.2/6~3/5 </t>
        </r>
        <r>
          <rPr>
            <sz val="9"/>
            <color indexed="81"/>
            <rFont val="돋움"/>
            <family val="3"/>
            <charset val="129"/>
          </rPr>
          <t>한달치</t>
        </r>
        <r>
          <rPr>
            <sz val="9"/>
            <color indexed="81"/>
            <rFont val="Tahoma"/>
            <family val="2"/>
          </rPr>
          <t xml:space="preserve"> 1,050,000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2/15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25.6/6~6/10 5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175,000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6/15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61" authorId="0" shapeId="0" xr:uid="{3CAF7D45-3494-440D-9D66-E028C1B1CE72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서우시스템즈
</t>
        </r>
        <r>
          <rPr>
            <sz val="9"/>
            <color indexed="81"/>
            <rFont val="Tahoma"/>
            <family val="2"/>
          </rPr>
          <t>6,7,8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6/30</t>
        </r>
        <r>
          <rPr>
            <sz val="9"/>
            <color indexed="81"/>
            <rFont val="돋움"/>
            <family val="3"/>
            <charset val="129"/>
          </rPr>
          <t>발행됨</t>
        </r>
        <r>
          <rPr>
            <sz val="9"/>
            <color indexed="81"/>
            <rFont val="Tahoma"/>
            <family val="2"/>
          </rPr>
          <t>1,440,000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7/30</t>
        </r>
        <r>
          <rPr>
            <sz val="9"/>
            <color indexed="81"/>
            <rFont val="돋움"/>
            <family val="3"/>
            <charset val="129"/>
          </rPr>
          <t>발행됨</t>
        </r>
        <r>
          <rPr>
            <sz val="9"/>
            <color indexed="81"/>
            <rFont val="Tahoma"/>
            <family val="2"/>
          </rPr>
          <t>480,000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10/30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>!!!
25.06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일부해지건</t>
        </r>
        <r>
          <rPr>
            <sz val="9"/>
            <color indexed="81"/>
            <rFont val="Tahoma"/>
            <family val="2"/>
          </rPr>
          <t xml:space="preserve"> 480000/30*10 = 160,000</t>
        </r>
        <r>
          <rPr>
            <sz val="9"/>
            <color indexed="81"/>
            <rFont val="돋움"/>
            <family val="3"/>
            <charset val="129"/>
          </rPr>
          <t>원은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미발행하기로함</t>
        </r>
        <r>
          <rPr>
            <sz val="9"/>
            <color indexed="81"/>
            <rFont val="Tahoma"/>
            <family val="2"/>
          </rPr>
          <t>_6/25</t>
        </r>
        <r>
          <rPr>
            <sz val="9"/>
            <color indexed="81"/>
            <rFont val="돋움"/>
            <family val="3"/>
            <charset val="129"/>
          </rPr>
          <t>임부장님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구두확인</t>
        </r>
      </text>
    </comment>
    <comment ref="P61" authorId="0" shapeId="0" xr:uid="{D0285116-2285-4BD7-9D10-B720E9A8EFDB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서우시스템즈
</t>
        </r>
        <r>
          <rPr>
            <sz val="9"/>
            <color indexed="81"/>
            <rFont val="Tahoma"/>
            <family val="2"/>
          </rPr>
          <t>6,7,8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6/30</t>
        </r>
        <r>
          <rPr>
            <sz val="9"/>
            <color indexed="81"/>
            <rFont val="돋움"/>
            <family val="3"/>
            <charset val="129"/>
          </rPr>
          <t>발행됨</t>
        </r>
        <r>
          <rPr>
            <sz val="9"/>
            <color indexed="81"/>
            <rFont val="Tahoma"/>
            <family val="2"/>
          </rPr>
          <t>1,440,000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7/30</t>
        </r>
        <r>
          <rPr>
            <sz val="9"/>
            <color indexed="81"/>
            <rFont val="돋움"/>
            <family val="3"/>
            <charset val="129"/>
          </rPr>
          <t>발행됨</t>
        </r>
        <r>
          <rPr>
            <sz val="9"/>
            <color indexed="81"/>
            <rFont val="Tahoma"/>
            <family val="2"/>
          </rPr>
          <t>480,000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10/30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>!!!
25.06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일부해지건</t>
        </r>
        <r>
          <rPr>
            <sz val="9"/>
            <color indexed="81"/>
            <rFont val="Tahoma"/>
            <family val="2"/>
          </rPr>
          <t xml:space="preserve"> 480000/30*10 = 160,000</t>
        </r>
        <r>
          <rPr>
            <sz val="9"/>
            <color indexed="81"/>
            <rFont val="돋움"/>
            <family val="3"/>
            <charset val="129"/>
          </rPr>
          <t>원은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미발행하기로함</t>
        </r>
        <r>
          <rPr>
            <sz val="9"/>
            <color indexed="81"/>
            <rFont val="Tahoma"/>
            <family val="2"/>
          </rPr>
          <t>_6/25</t>
        </r>
        <r>
          <rPr>
            <sz val="9"/>
            <color indexed="81"/>
            <rFont val="돋움"/>
            <family val="3"/>
            <charset val="129"/>
          </rPr>
          <t>임부장님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구두확인</t>
        </r>
      </text>
    </comment>
    <comment ref="K62" authorId="0" shapeId="0" xr:uid="{449423CF-D622-43B5-87FB-8DE061251C7A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모음커뮤니케이션</t>
        </r>
      </text>
    </comment>
    <comment ref="P62" authorId="0" shapeId="0" xr:uid="{16D6117F-2E81-411F-82B6-29B4997A61FA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모음커뮤니케이션</t>
        </r>
      </text>
    </comment>
    <comment ref="K63" authorId="3" shapeId="0" xr:uid="{51979630-FCEA-4770-BCE1-5A4777D1D88F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25.05~ </t>
        </r>
        <r>
          <rPr>
            <sz val="9"/>
            <color indexed="81"/>
            <rFont val="돋움"/>
            <family val="3"/>
            <charset val="129"/>
          </rPr>
          <t>제이원아이티</t>
        </r>
        <r>
          <rPr>
            <sz val="9"/>
            <color indexed="81"/>
            <rFont val="Tahoma"/>
            <family val="2"/>
          </rPr>
          <t xml:space="preserve"> 2,000,000</t>
        </r>
      </text>
    </comment>
    <comment ref="P63" authorId="3" shapeId="0" xr:uid="{BE9D295F-93F6-4BAF-AEEF-025ABCB1D358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25.05~ </t>
        </r>
        <r>
          <rPr>
            <sz val="9"/>
            <color indexed="81"/>
            <rFont val="돋움"/>
            <family val="3"/>
            <charset val="129"/>
          </rPr>
          <t>제이원아이티</t>
        </r>
        <r>
          <rPr>
            <sz val="9"/>
            <color indexed="81"/>
            <rFont val="Tahoma"/>
            <family val="2"/>
          </rPr>
          <t xml:space="preserve"> 2,000,000</t>
        </r>
      </text>
    </comment>
    <comment ref="J66" authorId="0" shapeId="0" xr:uid="{0118AC3B-5A7E-4536-AD2D-AC15C87DF79F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9/23~9/30 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일할계산</t>
        </r>
        <r>
          <rPr>
            <sz val="9"/>
            <color indexed="81"/>
            <rFont val="Tahoma"/>
            <family val="2"/>
          </rPr>
          <t>, 106,667</t>
        </r>
        <r>
          <rPr>
            <sz val="9"/>
            <color indexed="81"/>
            <rFont val="돋움"/>
            <family val="3"/>
            <charset val="129"/>
          </rPr>
          <t>발행함</t>
        </r>
      </text>
    </comment>
    <comment ref="J67" authorId="0" shapeId="0" xr:uid="{E83C356D-70D7-4F07-B4C2-AB176F644D66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21.11.08 </t>
        </r>
        <r>
          <rPr>
            <sz val="9"/>
            <color indexed="81"/>
            <rFont val="돋움"/>
            <family val="3"/>
            <charset val="129"/>
          </rPr>
          <t>첫달</t>
        </r>
        <r>
          <rPr>
            <sz val="9"/>
            <color indexed="81"/>
            <rFont val="Tahoma"/>
            <family val="2"/>
          </rPr>
          <t xml:space="preserve"> 23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651,667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(11/15)
23.07~23.11 </t>
        </r>
        <r>
          <rPr>
            <sz val="9"/>
            <color indexed="81"/>
            <rFont val="돋움"/>
            <family val="3"/>
            <charset val="129"/>
          </rPr>
          <t>상주변경추가비용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*5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
23.10 85+15*4=145 </t>
        </r>
        <r>
          <rPr>
            <sz val="9"/>
            <color indexed="81"/>
            <rFont val="돋움"/>
            <family val="3"/>
            <charset val="129"/>
          </rPr>
          <t xml:space="preserve">발행ㅇ
</t>
        </r>
        <r>
          <rPr>
            <sz val="9"/>
            <color indexed="81"/>
            <rFont val="Tahoma"/>
            <family val="2"/>
          </rPr>
          <t xml:space="preserve">23.11 85+15*1=100 </t>
        </r>
        <r>
          <rPr>
            <sz val="9"/>
            <color indexed="81"/>
            <rFont val="돋움"/>
            <family val="3"/>
            <charset val="129"/>
          </rPr>
          <t xml:space="preserve">발행예정
</t>
        </r>
        <r>
          <rPr>
            <sz val="9"/>
            <color indexed="81"/>
            <rFont val="Tahoma"/>
            <family val="2"/>
          </rPr>
          <t>+ 6</t>
        </r>
        <r>
          <rPr>
            <sz val="9"/>
            <color indexed="81"/>
            <rFont val="돋움"/>
            <family val="3"/>
            <charset val="129"/>
          </rPr>
          <t xml:space="preserve">개월연장
</t>
        </r>
        <r>
          <rPr>
            <sz val="9"/>
            <color indexed="81"/>
            <rFont val="Tahoma"/>
            <family val="2"/>
          </rPr>
          <t xml:space="preserve">23.12 100 </t>
        </r>
        <r>
          <rPr>
            <sz val="9"/>
            <color indexed="81"/>
            <rFont val="돋움"/>
            <family val="3"/>
            <charset val="129"/>
          </rPr>
          <t xml:space="preserve">발행예정
</t>
        </r>
        <r>
          <rPr>
            <sz val="9"/>
            <color indexed="81"/>
            <rFont val="Tahoma"/>
            <family val="2"/>
          </rPr>
          <t xml:space="preserve">24.01 100 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 xml:space="preserve">
24.02 100 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 xml:space="preserve">
24.03 100 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 xml:space="preserve">
24.04 100 </t>
        </r>
        <r>
          <rPr>
            <sz val="9"/>
            <color indexed="81"/>
            <rFont val="돋움"/>
            <family val="3"/>
            <charset val="129"/>
          </rPr>
          <t>발행예정</t>
        </r>
        <r>
          <rPr>
            <sz val="9"/>
            <color indexed="81"/>
            <rFont val="Tahoma"/>
            <family val="2"/>
          </rPr>
          <t xml:space="preserve">
24.05 100 </t>
        </r>
        <r>
          <rPr>
            <sz val="9"/>
            <color indexed="81"/>
            <rFont val="돋움"/>
            <family val="3"/>
            <charset val="129"/>
          </rPr>
          <t xml:space="preserve">발행예정
</t>
        </r>
        <r>
          <rPr>
            <sz val="9"/>
            <color indexed="81"/>
            <rFont val="Tahoma"/>
            <family val="2"/>
          </rPr>
          <t>+12</t>
        </r>
        <r>
          <rPr>
            <sz val="9"/>
            <color indexed="81"/>
            <rFont val="돋움"/>
            <family val="3"/>
            <charset val="129"/>
          </rPr>
          <t xml:space="preserve">개월연장
</t>
        </r>
        <r>
          <rPr>
            <sz val="9"/>
            <color indexed="81"/>
            <rFont val="Tahoma"/>
            <family val="2"/>
          </rPr>
          <t xml:space="preserve">24.06 85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24.07 115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24.08 ~ 25.05 100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69" authorId="0" shapeId="0" xr:uid="{94F7AB33-2A33-4B1B-936E-B705790E15DD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12/27~1/26 75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 xml:space="preserve">1/15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70" authorId="0" shapeId="0" xr:uid="{F3C5B120-A694-4929-A122-F5A3FFE40CD0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1/10~1/31 283,871 1/15 </t>
        </r>
        <r>
          <rPr>
            <sz val="9"/>
            <color indexed="81"/>
            <rFont val="돋움"/>
            <family val="3"/>
            <charset val="129"/>
          </rPr>
          <t>발행
이후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일발행</t>
        </r>
        <r>
          <rPr>
            <sz val="9"/>
            <color indexed="81"/>
            <rFont val="Tahoma"/>
            <family val="2"/>
          </rPr>
          <t xml:space="preserve"> -&gt; 3/1~3/31 3/15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71" authorId="0" shapeId="0" xr:uid="{AE3347C4-BC0D-4FC7-80CB-E82DD63B9718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2/3~3/2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3/15</t>
        </r>
        <r>
          <rPr>
            <sz val="9"/>
            <color indexed="81"/>
            <rFont val="돋움"/>
            <family val="3"/>
            <charset val="129"/>
          </rPr>
          <t>발행함</t>
        </r>
      </text>
    </comment>
    <comment ref="J72" authorId="0" shapeId="0" xr:uid="{29605EB4-5775-41C5-AE1B-D40FFB22D5D0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2/23~3/22 1</t>
        </r>
        <r>
          <rPr>
            <sz val="9"/>
            <color indexed="81"/>
            <rFont val="돋움"/>
            <family val="3"/>
            <charset val="129"/>
          </rPr>
          <t>개월분</t>
        </r>
        <r>
          <rPr>
            <sz val="9"/>
            <color indexed="81"/>
            <rFont val="Tahoma"/>
            <family val="2"/>
          </rPr>
          <t xml:space="preserve"> 3/15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73" authorId="3" shapeId="0" xr:uid="{046689CA-11A5-4A59-8FDF-7AF6262A9501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23.04~ 65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-&gt; 40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J74" authorId="0" shapeId="0" xr:uid="{A9FE3A5D-C2D7-4098-8B48-65662CFCB324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5/23~6/24 6/15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75" authorId="0" shapeId="0" xr:uid="{5FF343BD-196A-4ED6-A11B-D398EAE2FAEC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5/13~6/12 5/15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23.7/17 </t>
        </r>
        <r>
          <rPr>
            <sz val="9"/>
            <color indexed="81"/>
            <rFont val="돋움"/>
            <family val="3"/>
            <charset val="129"/>
          </rPr>
          <t xml:space="preserve">금액변동
</t>
        </r>
        <r>
          <rPr>
            <sz val="9"/>
            <color indexed="81"/>
            <rFont val="Tahoma"/>
            <family val="2"/>
          </rPr>
          <t xml:space="preserve">7/13~7/16 1,300,000/31*4 = 167,742
7/17~8/12 1,400,000/31*27=1,219,355
7/15 1,387,097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23.07~ 1,500,000</t>
        </r>
      </text>
    </comment>
    <comment ref="J77" authorId="0" shapeId="0" xr:uid="{FFCE14A4-8D77-40DF-B323-F0ED28AD6CD4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5.30~6/29
6/30~7/29
</t>
        </r>
        <r>
          <rPr>
            <sz val="9"/>
            <color indexed="81"/>
            <rFont val="돋움"/>
            <family val="3"/>
            <charset val="129"/>
          </rPr>
          <t>두달치</t>
        </r>
        <r>
          <rPr>
            <sz val="9"/>
            <color indexed="81"/>
            <rFont val="Tahoma"/>
            <family val="2"/>
          </rPr>
          <t xml:space="preserve"> 1,900,000 7/15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80" authorId="0" shapeId="0" xr:uid="{5EE683AD-03A7-472B-8393-B33869D10C8A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9/7~9/30 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9/30 </t>
        </r>
        <r>
          <rPr>
            <sz val="9"/>
            <color indexed="81"/>
            <rFont val="돋움"/>
            <family val="3"/>
            <charset val="129"/>
          </rPr>
          <t>일할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>, 40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50</t>
        </r>
        <r>
          <rPr>
            <sz val="9"/>
            <color indexed="81"/>
            <rFont val="돋움"/>
            <family val="3"/>
            <charset val="129"/>
          </rPr>
          <t xml:space="preserve">발행하기
</t>
        </r>
        <r>
          <rPr>
            <sz val="9"/>
            <color indexed="81"/>
            <rFont val="Tahoma"/>
            <family val="2"/>
          </rPr>
          <t xml:space="preserve">2.40 </t>
        </r>
        <r>
          <rPr>
            <sz val="9"/>
            <color indexed="81"/>
            <rFont val="돋움"/>
            <family val="3"/>
            <charset val="129"/>
          </rPr>
          <t>잘못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3.24.03 </t>
        </r>
        <r>
          <rPr>
            <sz val="9"/>
            <color indexed="81"/>
            <rFont val="돋움"/>
            <family val="3"/>
            <charset val="129"/>
          </rPr>
          <t>미청구분</t>
        </r>
        <r>
          <rPr>
            <sz val="9"/>
            <color indexed="81"/>
            <rFont val="Tahoma"/>
            <family val="2"/>
          </rPr>
          <t xml:space="preserve"> 170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포함하여</t>
        </r>
        <r>
          <rPr>
            <sz val="9"/>
            <color indexed="81"/>
            <rFont val="Tahoma"/>
            <family val="2"/>
          </rPr>
          <t xml:space="preserve"> 220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81" authorId="0" shapeId="0" xr:uid="{096BCFA4-12E1-4B5A-A7AE-D86482A1038C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첫달</t>
        </r>
        <r>
          <rPr>
            <sz val="9"/>
            <color indexed="81"/>
            <rFont val="Tahoma"/>
            <family val="2"/>
          </rPr>
          <t xml:space="preserve"> 11/7~11/30 24</t>
        </r>
        <r>
          <rPr>
            <sz val="9"/>
            <color indexed="81"/>
            <rFont val="돋움"/>
            <family val="3"/>
            <charset val="129"/>
          </rPr>
          <t xml:space="preserve">일
</t>
        </r>
        <r>
          <rPr>
            <sz val="9"/>
            <color indexed="81"/>
            <rFont val="Tahoma"/>
            <family val="2"/>
          </rPr>
          <t xml:space="preserve">250,000/30*24 = 200,000
11/15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82" authorId="0" shapeId="0" xr:uid="{BBE78BD8-0225-44CF-A89E-C89835C31724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첫달</t>
        </r>
        <r>
          <rPr>
            <sz val="9"/>
            <color indexed="81"/>
            <rFont val="Tahoma"/>
            <family val="2"/>
          </rPr>
          <t xml:space="preserve"> 3/20~4/19 3/15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83" authorId="3" shapeId="0" xr:uid="{1350F1AA-5521-4347-9E5A-4E707779C0D3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미진행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취소발행</t>
        </r>
      </text>
    </comment>
    <comment ref="K85" authorId="3" shapeId="0" xr:uid="{6AFDCAC2-C4AC-430D-9BFB-3125A52D30B6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트라이오넷</t>
        </r>
        <r>
          <rPr>
            <sz val="9"/>
            <color indexed="81"/>
            <rFont val="Tahoma"/>
            <family val="2"/>
          </rPr>
          <t xml:space="preserve"> 120,000
23.05</t>
        </r>
        <r>
          <rPr>
            <sz val="9"/>
            <color indexed="81"/>
            <rFont val="돋움"/>
            <family val="3"/>
            <charset val="129"/>
          </rPr>
          <t>월부터</t>
        </r>
      </text>
    </comment>
    <comment ref="K87" authorId="3" shapeId="0" xr:uid="{9A74C266-01C1-4B59-977D-6AD4B83FEB23}">
      <text>
        <r>
          <rPr>
            <sz val="9"/>
            <color indexed="81"/>
            <rFont val="돋움"/>
            <family val="3"/>
            <charset val="129"/>
          </rPr>
          <t>티엔에스솔루션
1월만 800추가</t>
        </r>
      </text>
    </comment>
    <comment ref="P87" authorId="3" shapeId="0" xr:uid="{4E25DA9D-D754-4CD7-B081-D94D6FB33240}">
      <text>
        <r>
          <rPr>
            <sz val="9"/>
            <color indexed="81"/>
            <rFont val="돋움"/>
            <family val="3"/>
            <charset val="129"/>
          </rPr>
          <t>티엔에스솔루션
1월만 800추가</t>
        </r>
      </text>
    </comment>
    <comment ref="J90" authorId="3" shapeId="0" xr:uid="{D2C6266E-8B3A-4344-B939-148FD0084D2B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4~6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5,775,000 9.11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7,672,500 10.24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7,672,500 ??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5/7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 8/19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O90" authorId="2" shapeId="0" xr:uid="{A38160C5-86F8-433A-981E-D68AD96D9F05}">
      <text>
        <r>
          <rPr>
            <b/>
            <sz val="11"/>
            <color indexed="81"/>
            <rFont val="돋움"/>
            <family val="3"/>
            <charset val="129"/>
          </rPr>
          <t>한미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2023.04.20~2025.12.31
32</t>
        </r>
        <r>
          <rPr>
            <sz val="11"/>
            <color indexed="81"/>
            <rFont val="돋움"/>
            <family val="3"/>
            <charset val="129"/>
          </rPr>
          <t>개월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일
전체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계약금액</t>
        </r>
        <r>
          <rPr>
            <sz val="11"/>
            <color indexed="81"/>
            <rFont val="Tahoma"/>
            <family val="2"/>
          </rPr>
          <t xml:space="preserve"> 82,500,000</t>
        </r>
        <r>
          <rPr>
            <sz val="11"/>
            <color indexed="81"/>
            <rFont val="돋움"/>
            <family val="3"/>
            <charset val="129"/>
          </rPr>
          <t xml:space="preserve">원
</t>
        </r>
        <r>
          <rPr>
            <sz val="11"/>
            <color indexed="81"/>
            <rFont val="Tahoma"/>
            <family val="2"/>
          </rPr>
          <t>1.</t>
        </r>
        <r>
          <rPr>
            <sz val="11"/>
            <color indexed="81"/>
            <rFont val="돋움"/>
            <family val="3"/>
            <charset val="129"/>
          </rPr>
          <t>계약기간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환산
</t>
        </r>
        <r>
          <rPr>
            <sz val="11"/>
            <color indexed="81"/>
            <rFont val="Tahoma"/>
            <family val="2"/>
          </rPr>
          <t>11</t>
        </r>
        <r>
          <rPr>
            <sz val="11"/>
            <color indexed="81"/>
            <rFont val="돋움"/>
            <family val="3"/>
            <charset val="129"/>
          </rPr>
          <t>일</t>
        </r>
        <r>
          <rPr>
            <sz val="11"/>
            <color indexed="81"/>
            <rFont val="Tahoma"/>
            <family val="2"/>
          </rPr>
          <t>/30</t>
        </r>
        <r>
          <rPr>
            <sz val="11"/>
            <color indexed="81"/>
            <rFont val="돋움"/>
            <family val="3"/>
            <charset val="129"/>
          </rPr>
          <t>일</t>
        </r>
        <r>
          <rPr>
            <sz val="11"/>
            <color indexed="81"/>
            <rFont val="Tahoma"/>
            <family val="2"/>
          </rPr>
          <t xml:space="preserve"> = 0.3666 </t>
        </r>
        <r>
          <rPr>
            <sz val="11"/>
            <color indexed="81"/>
            <rFont val="돋움"/>
            <family val="3"/>
            <charset val="129"/>
          </rPr>
          <t>개월</t>
        </r>
        <r>
          <rPr>
            <sz val="11"/>
            <color indexed="81"/>
            <rFont val="Tahoma"/>
            <family val="2"/>
          </rPr>
          <t xml:space="preserve">
2. </t>
        </r>
        <r>
          <rPr>
            <sz val="11"/>
            <color indexed="81"/>
            <rFont val="돋움"/>
            <family val="3"/>
            <charset val="129"/>
          </rPr>
          <t>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계약금액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계산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계약기간</t>
        </r>
        <r>
          <rPr>
            <sz val="11"/>
            <color indexed="81"/>
            <rFont val="Tahoma"/>
            <family val="2"/>
          </rPr>
          <t>: 32.36</t>
        </r>
        <r>
          <rPr>
            <sz val="11"/>
            <color indexed="81"/>
            <rFont val="돋움"/>
            <family val="3"/>
            <charset val="129"/>
          </rPr>
          <t>개월
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계약금액</t>
        </r>
        <r>
          <rPr>
            <sz val="11"/>
            <color indexed="81"/>
            <rFont val="Tahoma"/>
            <family val="2"/>
          </rPr>
          <t>: 82,500,000 / 32.36</t>
        </r>
        <r>
          <rPr>
            <sz val="11"/>
            <color indexed="81"/>
            <rFont val="돋움"/>
            <family val="3"/>
            <charset val="129"/>
          </rPr>
          <t>개월</t>
        </r>
        <r>
          <rPr>
            <sz val="11"/>
            <color indexed="81"/>
            <rFont val="Tahoma"/>
            <family val="2"/>
          </rPr>
          <t xml:space="preserve"> =</t>
        </r>
        <r>
          <rPr>
            <b/>
            <sz val="11"/>
            <color indexed="81"/>
            <rFont val="Tahoma"/>
            <family val="2"/>
          </rPr>
          <t>2,549,443</t>
        </r>
      </text>
    </comment>
    <comment ref="H91" authorId="3" shapeId="0" xr:uid="{C19234EC-3A82-4971-B592-432D78EE7B80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10/6~11/5 10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10/15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91" authorId="3" shapeId="0" xr:uid="{7B8ED1A9-6C62-4393-8B8A-B8061420505D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22.10~23.09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X
23.10~24.09 </t>
        </r>
        <r>
          <rPr>
            <sz val="9"/>
            <color indexed="81"/>
            <rFont val="돋움"/>
            <family val="3"/>
            <charset val="129"/>
          </rPr>
          <t>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 = 400,000 -&gt; 800,000
24.10 </t>
        </r>
        <r>
          <rPr>
            <sz val="9"/>
            <color indexed="81"/>
            <rFont val="돋움"/>
            <family val="3"/>
            <charset val="129"/>
          </rPr>
          <t>계산서부터</t>
        </r>
        <r>
          <rPr>
            <sz val="9"/>
            <color indexed="81"/>
            <rFont val="Tahoma"/>
            <family val="2"/>
          </rPr>
          <t xml:space="preserve"> 400,000 </t>
        </r>
        <r>
          <rPr>
            <sz val="9"/>
            <color indexed="81"/>
            <rFont val="돋움"/>
            <family val="3"/>
            <charset val="129"/>
          </rPr>
          <t>정상청구</t>
        </r>
      </text>
    </comment>
    <comment ref="H92" authorId="3" shapeId="0" xr:uid="{C3BB9162-8300-4270-B28C-1FA789B8158A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9/22~10/21 10/15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93" authorId="3" shapeId="0" xr:uid="{6789B736-1B20-49C9-9503-B311F7D4B588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10/6~11/5 10/15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95" authorId="3" shapeId="0" xr:uid="{6FB3AD4B-FE04-4A55-A9F2-369837A3F92B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윈씨엔에스</t>
        </r>
      </text>
    </comment>
    <comment ref="J96" authorId="3" shapeId="0" xr:uid="{4E27DAFD-ADF8-413C-9BF7-7AE578CB8980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1/15~1/31 17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900,000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1/23 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1,800,000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2/15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K97" authorId="3" shapeId="0" xr:uid="{A60F43B9-79FC-4E33-B693-39DA737AF422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윈씨엔에스</t>
        </r>
      </text>
    </comment>
    <comment ref="J98" authorId="3" shapeId="0" xr:uid="{70046D97-1EF8-4C7D-89A5-55AD6E30F78B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2/14~2/29 </t>
        </r>
        <r>
          <rPr>
            <sz val="9"/>
            <color indexed="81"/>
            <rFont val="돋움"/>
            <family val="3"/>
            <charset val="129"/>
          </rPr>
          <t>일할</t>
        </r>
        <r>
          <rPr>
            <sz val="9"/>
            <color indexed="81"/>
            <rFont val="Tahoma"/>
            <family val="2"/>
          </rPr>
          <t xml:space="preserve"> 137,600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'2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' 2/21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25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'3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' 3/15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H99" authorId="3" shapeId="0" xr:uid="{EE1E5BCF-CC0D-4B0C-B831-BBDFCD490A02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8/19~9/18 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8/30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8/19~8/31 8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2,750,000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8/31 </t>
        </r>
        <r>
          <rPr>
            <sz val="9"/>
            <color indexed="81"/>
            <rFont val="돋움"/>
            <family val="3"/>
            <charset val="129"/>
          </rPr>
          <t>발행
이후</t>
        </r>
        <r>
          <rPr>
            <sz val="9"/>
            <color indexed="81"/>
            <rFont val="Tahoma"/>
            <family val="2"/>
          </rPr>
          <t>,
9/1~9/30 9</t>
        </r>
        <r>
          <rPr>
            <sz val="9"/>
            <color indexed="81"/>
            <rFont val="돋움"/>
            <family val="3"/>
            <charset val="129"/>
          </rPr>
          <t>월분</t>
        </r>
        <r>
          <rPr>
            <sz val="9"/>
            <color indexed="81"/>
            <rFont val="Tahoma"/>
            <family val="2"/>
          </rPr>
          <t xml:space="preserve"> 6,906,364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9/30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>~</t>
        </r>
      </text>
    </comment>
    <comment ref="K99" authorId="3" shapeId="0" xr:uid="{31DB89C0-8EF2-4D0F-8176-5AD6DE4216E5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넷세이프
</t>
        </r>
        <r>
          <rPr>
            <sz val="9"/>
            <color indexed="81"/>
            <rFont val="Tahoma"/>
            <family val="2"/>
          </rPr>
          <t xml:space="preserve">24.08 </t>
        </r>
        <r>
          <rPr>
            <sz val="9"/>
            <color indexed="81"/>
            <rFont val="돋움"/>
            <family val="3"/>
            <charset val="129"/>
          </rPr>
          <t>일할계산</t>
        </r>
        <r>
          <rPr>
            <sz val="9"/>
            <color indexed="81"/>
            <rFont val="Tahoma"/>
            <family val="2"/>
          </rPr>
          <t xml:space="preserve"> 2,630,000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24.09~25.07 </t>
        </r>
        <r>
          <rPr>
            <sz val="9"/>
            <color indexed="81"/>
            <rFont val="돋움"/>
            <family val="3"/>
            <charset val="129"/>
          </rPr>
          <t>정상발행</t>
        </r>
        <r>
          <rPr>
            <sz val="9"/>
            <color indexed="81"/>
            <rFont val="Tahoma"/>
            <family val="2"/>
          </rPr>
          <t xml:space="preserve"> 6,250,000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25.08 </t>
        </r>
        <r>
          <rPr>
            <sz val="9"/>
            <color indexed="81"/>
            <rFont val="돋움"/>
            <family val="3"/>
            <charset val="129"/>
          </rPr>
          <t>일할계산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  <r>
          <rPr>
            <sz val="9"/>
            <color indexed="81"/>
            <rFont val="Tahoma"/>
            <family val="2"/>
          </rPr>
          <t xml:space="preserve"> 3,620,000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-&gt; 24.09.10 </t>
        </r>
        <r>
          <rPr>
            <sz val="9"/>
            <color indexed="81"/>
            <rFont val="돋움"/>
            <family val="3"/>
            <charset val="129"/>
          </rPr>
          <t>오상력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
매출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매입</t>
        </r>
        <r>
          <rPr>
            <sz val="9"/>
            <color indexed="81"/>
            <rFont val="Tahoma"/>
            <family val="2"/>
          </rPr>
          <t xml:space="preserve"> 13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발행되는것임</t>
        </r>
      </text>
    </comment>
    <comment ref="J100" authorId="3" shapeId="0" xr:uid="{0CA48AAB-2741-442D-B297-027CD0DA76E0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3/4~4/3 </t>
        </r>
        <r>
          <rPr>
            <sz val="9"/>
            <color indexed="81"/>
            <rFont val="돋움"/>
            <family val="3"/>
            <charset val="129"/>
          </rPr>
          <t>한달치</t>
        </r>
        <r>
          <rPr>
            <sz val="9"/>
            <color indexed="81"/>
            <rFont val="Tahoma"/>
            <family val="2"/>
          </rPr>
          <t xml:space="preserve"> 35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3/15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E102" authorId="3" shapeId="0" xr:uid="{A0077A8F-563F-4C51-9BD5-8167CB904F08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고객사</t>
        </r>
        <r>
          <rPr>
            <sz val="9"/>
            <color indexed="81"/>
            <rFont val="Tahoma"/>
            <family val="2"/>
          </rPr>
          <t>:skb</t>
        </r>
      </text>
    </comment>
    <comment ref="H104" authorId="3" shapeId="0" xr:uid="{337F9A38-AB25-449C-AE7F-19AE0F0B0611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8/5~7/4 8/15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105" authorId="3" shapeId="0" xr:uid="{2FE0B8C4-A641-4244-8C78-DFDA284266C1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9/3~10/2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9/15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107" authorId="3" shapeId="0" xr:uid="{2762EBFD-267C-4B95-B930-BBD7706305B5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11/4~12/3 1</t>
        </r>
        <r>
          <rPr>
            <sz val="9"/>
            <color indexed="81"/>
            <rFont val="돋움"/>
            <family val="3"/>
            <charset val="129"/>
          </rPr>
          <t>개월분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H108" authorId="3" shapeId="0" xr:uid="{2117F531-0B71-415A-94DA-5CC2F3E2B538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12/18~1/17 12/15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J114" authorId="3" shapeId="0" xr:uid="{63300609-738D-475B-B827-86515230451F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25.02.03~25.02.28 </t>
        </r>
        <r>
          <rPr>
            <sz val="9"/>
            <color indexed="81"/>
            <rFont val="돋움"/>
            <family val="3"/>
            <charset val="129"/>
          </rPr>
          <t>일할계산하여</t>
        </r>
        <r>
          <rPr>
            <sz val="9"/>
            <color indexed="81"/>
            <rFont val="Tahoma"/>
            <family val="2"/>
          </rPr>
          <t xml:space="preserve"> 2/15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740,000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>)</t>
        </r>
      </text>
    </comment>
    <comment ref="H118" authorId="3" shapeId="0" xr:uid="{C79B1E9D-DFC7-4E2E-9353-7B5D8DE5A95F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25.07.07~25.07.31
</t>
        </r>
        <r>
          <rPr>
            <sz val="9"/>
            <color indexed="81"/>
            <rFont val="돋움"/>
            <family val="3"/>
            <charset val="129"/>
          </rPr>
          <t>일할계산하여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 xml:space="preserve">월분
</t>
        </r>
        <r>
          <rPr>
            <sz val="9"/>
            <color indexed="81"/>
            <rFont val="Tahoma"/>
            <family val="2"/>
          </rPr>
          <t xml:space="preserve">7/15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144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금액은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영업에서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줌</t>
        </r>
      </text>
    </comment>
    <comment ref="H122" authorId="3" shapeId="0" xr:uid="{B694125C-2BD0-4A78-9A8E-55D212092328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18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~9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13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계산하여</t>
        </r>
        <r>
          <rPr>
            <sz val="9"/>
            <color indexed="81"/>
            <rFont val="Tahoma"/>
            <family val="2"/>
          </rPr>
          <t xml:space="preserve"> 216,667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천원단위절삭</t>
        </r>
        <r>
          <rPr>
            <sz val="9"/>
            <color indexed="81"/>
            <rFont val="Tahoma"/>
            <family val="2"/>
          </rPr>
          <t xml:space="preserve"> 210,000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청구
</t>
        </r>
        <r>
          <rPr>
            <sz val="9"/>
            <color indexed="81"/>
            <rFont val="Tahoma"/>
            <family val="2"/>
          </rPr>
          <t xml:space="preserve">10/1~10/31 -&gt; 10/15 </t>
        </r>
        <r>
          <rPr>
            <sz val="9"/>
            <color indexed="81"/>
            <rFont val="돋움"/>
            <family val="3"/>
            <charset val="129"/>
          </rPr>
          <t>청구</t>
        </r>
      </text>
    </comment>
    <comment ref="R143" authorId="3" shapeId="0" xr:uid="{BC292EE7-7016-40F7-82CE-CCEB49468E4E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https://www.ezmedicom.com/main/index
</t>
        </r>
        <r>
          <rPr>
            <sz val="9"/>
            <color indexed="81"/>
            <rFont val="돋움"/>
            <family val="3"/>
            <charset val="129"/>
          </rPr>
          <t>아이디</t>
        </r>
        <r>
          <rPr>
            <sz val="9"/>
            <color indexed="81"/>
            <rFont val="Tahoma"/>
            <family val="2"/>
          </rPr>
          <t xml:space="preserve">:jngsystem
</t>
        </r>
        <r>
          <rPr>
            <sz val="9"/>
            <color indexed="81"/>
            <rFont val="돋움"/>
            <family val="3"/>
            <charset val="129"/>
          </rPr>
          <t>비밀번호</t>
        </r>
        <r>
          <rPr>
            <sz val="9"/>
            <color indexed="81"/>
            <rFont val="Tahoma"/>
            <family val="2"/>
          </rPr>
          <t>:Dpdlwjsxm8* (</t>
        </r>
        <r>
          <rPr>
            <sz val="9"/>
            <color indexed="81"/>
            <rFont val="돋움"/>
            <family val="3"/>
            <charset val="129"/>
          </rPr>
          <t>첫글자대문자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에이전트</t>
        </r>
        <r>
          <rPr>
            <sz val="9"/>
            <color indexed="81"/>
            <rFont val="Tahoma"/>
            <family val="2"/>
          </rPr>
          <t xml:space="preserve">8*)
</t>
        </r>
        <r>
          <rPr>
            <sz val="9"/>
            <color indexed="81"/>
            <rFont val="돋움"/>
            <family val="3"/>
            <charset val="129"/>
          </rPr>
          <t>정산관리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세금계산서발송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클릭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발송목록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오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국세청전송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발송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susu</author>
    <author>gssong</author>
    <author>user</author>
    <author>sgkang</author>
  </authors>
  <commentList>
    <comment ref="K4" authorId="0" shapeId="0" xr:uid="{5CE6BC76-C67D-4E4E-9400-FFADB95AB963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마지막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발행월</t>
        </r>
      </text>
    </comment>
    <comment ref="B47" authorId="1" shapeId="0" xr:uid="{B1226DCA-F20F-4E9F-952D-AE7C11F6CAFC}">
      <text>
        <r>
          <rPr>
            <b/>
            <sz val="9"/>
            <color indexed="81"/>
            <rFont val="맑은 고딕"/>
            <family val="2"/>
            <charset val="129"/>
          </rPr>
          <t>제록스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맑은 고딕"/>
            <family val="2"/>
            <charset val="129"/>
          </rPr>
          <t>칼라복사기</t>
        </r>
        <r>
          <rPr>
            <b/>
            <sz val="9"/>
            <color indexed="81"/>
            <rFont val="Tahoma"/>
            <family val="2"/>
          </rPr>
          <t>(3375)
HP</t>
        </r>
        <r>
          <rPr>
            <b/>
            <sz val="9"/>
            <color indexed="81"/>
            <rFont val="맑은 고딕"/>
            <family val="2"/>
            <charset val="129"/>
          </rPr>
          <t>프린터</t>
        </r>
        <r>
          <rPr>
            <b/>
            <sz val="9"/>
            <color indexed="81"/>
            <rFont val="Tahoma"/>
            <family val="2"/>
          </rPr>
          <t>(P3015D)</t>
        </r>
      </text>
    </comment>
    <comment ref="G47" authorId="0" shapeId="0" xr:uid="{BA14625F-B815-4922-B8E3-378EC5264386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20.07~08(2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일시적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인하발행으로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40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20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발행함
코로나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사태</t>
        </r>
        <r>
          <rPr>
            <sz val="9"/>
            <color indexed="81"/>
            <rFont val="Tahoma"/>
            <family val="2"/>
          </rPr>
          <t xml:space="preserve"> : 20.09~11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중지
</t>
        </r>
        <r>
          <rPr>
            <sz val="9"/>
            <color indexed="81"/>
            <rFont val="Tahoma"/>
            <family val="2"/>
          </rPr>
          <t>12~12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중지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월까지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중지</t>
        </r>
      </text>
    </comment>
    <comment ref="K47" authorId="2" shapeId="0" xr:uid="{BE3C6B1E-54F5-4E87-93CA-EA2E6BA830FF}">
      <text>
        <r>
          <rPr>
            <b/>
            <sz val="9"/>
            <color indexed="81"/>
            <rFont val="Tahoma"/>
            <family val="2"/>
          </rPr>
          <t>12~13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거래명세서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K48" authorId="0" shapeId="0" xr:uid="{E811F15A-808A-4959-B388-41589E1357A8}">
      <text>
        <r>
          <rPr>
            <b/>
            <sz val="9"/>
            <color indexed="81"/>
            <rFont val="Tahoma"/>
            <family val="2"/>
          </rPr>
          <t>600,000(7,8,9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) 10/11 </t>
        </r>
        <r>
          <rPr>
            <b/>
            <sz val="9"/>
            <color indexed="81"/>
            <rFont val="돋움"/>
            <family val="3"/>
            <charset val="129"/>
          </rPr>
          <t>발행함</t>
        </r>
        <r>
          <rPr>
            <b/>
            <sz val="9"/>
            <color indexed="81"/>
            <rFont val="Tahoma"/>
            <family val="2"/>
          </rPr>
          <t xml:space="preserve">
10,11,12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12/31 </t>
        </r>
        <r>
          <rPr>
            <b/>
            <sz val="9"/>
            <color indexed="81"/>
            <rFont val="돋움"/>
            <family val="3"/>
            <charset val="129"/>
          </rPr>
          <t xml:space="preserve">발행함
</t>
        </r>
        <r>
          <rPr>
            <b/>
            <sz val="9"/>
            <color indexed="81"/>
            <rFont val="Tahoma"/>
            <family val="2"/>
          </rPr>
          <t xml:space="preserve">1,2,3 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3/31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  <r>
          <rPr>
            <b/>
            <sz val="9"/>
            <color indexed="81"/>
            <rFont val="Tahoma"/>
            <family val="2"/>
          </rPr>
          <t xml:space="preserve">4,5,6 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6/30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  <r>
          <rPr>
            <b/>
            <sz val="9"/>
            <color indexed="81"/>
            <rFont val="Tahoma"/>
            <family val="2"/>
          </rPr>
          <t xml:space="preserve">7,8,9 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9/29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  <r>
          <rPr>
            <b/>
            <sz val="9"/>
            <color indexed="81"/>
            <rFont val="Tahoma"/>
            <family val="2"/>
          </rPr>
          <t>10,11,12</t>
        </r>
        <r>
          <rPr>
            <b/>
            <sz val="9"/>
            <color indexed="81"/>
            <rFont val="돋움"/>
            <family val="3"/>
            <charset val="129"/>
          </rPr>
          <t>월분</t>
        </r>
        <r>
          <rPr>
            <b/>
            <sz val="9"/>
            <color indexed="81"/>
            <rFont val="Tahoma"/>
            <family val="2"/>
          </rPr>
          <t xml:space="preserve"> 12/31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G54" authorId="1" shapeId="0" xr:uid="{A479B6EE-BA89-4B65-83AF-0FED203F1C4C}">
      <text>
        <r>
          <rPr>
            <b/>
            <sz val="9"/>
            <color indexed="81"/>
            <rFont val="돋움"/>
            <family val="3"/>
            <charset val="129"/>
          </rPr>
          <t>서우시스템즈 733,333
20.09~부터 50만원씩</t>
        </r>
      </text>
    </comment>
    <comment ref="E56" authorId="0" shapeId="0" xr:uid="{250623BF-7D95-41AD-9958-45B19E047767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5/17~5/31 15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241,935 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E57" authorId="0" shapeId="0" xr:uid="{8A60E8EB-DFE0-4175-B488-9C69D664B686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1/4~2/3 </t>
        </r>
        <r>
          <rPr>
            <sz val="9"/>
            <color indexed="81"/>
            <rFont val="돋움"/>
            <family val="3"/>
            <charset val="129"/>
          </rPr>
          <t>한달치</t>
        </r>
        <r>
          <rPr>
            <sz val="9"/>
            <color indexed="81"/>
            <rFont val="Tahoma"/>
            <family val="2"/>
          </rPr>
          <t xml:space="preserve"> 1/29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F57" authorId="0" shapeId="0" xr:uid="{444C50E7-64AF-4EFD-89C7-097F3B829C86}">
      <text>
        <r>
          <rPr>
            <b/>
            <sz val="9"/>
            <color indexed="81"/>
            <rFont val="Tahoma"/>
            <family val="2"/>
          </rPr>
          <t>susu: 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
14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/30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*20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93,334
24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/30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*10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80,000
</t>
        </r>
        <r>
          <rPr>
            <sz val="9"/>
            <color indexed="81"/>
            <rFont val="돋움"/>
            <family val="3"/>
            <charset val="129"/>
          </rPr>
          <t>합</t>
        </r>
        <r>
          <rPr>
            <sz val="9"/>
            <color indexed="81"/>
            <rFont val="Tahoma"/>
            <family val="2"/>
          </rPr>
          <t>)173,334
12/1~12/31 24</t>
        </r>
        <r>
          <rPr>
            <sz val="9"/>
            <color indexed="81"/>
            <rFont val="돋움"/>
            <family val="3"/>
            <charset val="129"/>
          </rPr>
          <t>만원
해지</t>
        </r>
        <r>
          <rPr>
            <sz val="9"/>
            <color indexed="81"/>
            <rFont val="Tahoma"/>
            <family val="2"/>
          </rPr>
          <t>-
11/4~11/24 21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168,000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F58" authorId="0" shapeId="0" xr:uid="{1E4BEF74-206D-46EF-8444-C53A5B890949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4/25~5/24 5/15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~10/15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계약
</t>
        </r>
        <r>
          <rPr>
            <sz val="9"/>
            <color indexed="81"/>
            <rFont val="Tahoma"/>
            <family val="2"/>
          </rPr>
          <t>10/15~10/24 9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15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잡이익</t>
        </r>
      </text>
    </comment>
    <comment ref="F59" authorId="0" shapeId="0" xr:uid="{611F4E66-F720-40C5-ABCE-89AAEC8510E0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첫달</t>
        </r>
        <r>
          <rPr>
            <sz val="9"/>
            <color indexed="81"/>
            <rFont val="Tahoma"/>
            <family val="2"/>
          </rPr>
          <t xml:space="preserve"> 7/20~7/31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/31*12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77,419(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 xml:space="preserve">) 7/20 </t>
        </r>
        <r>
          <rPr>
            <sz val="9"/>
            <color indexed="81"/>
            <rFont val="돋움"/>
            <family val="3"/>
            <charset val="129"/>
          </rPr>
          <t>발행함
매입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신월드</t>
        </r>
        <r>
          <rPr>
            <sz val="9"/>
            <color indexed="81"/>
            <rFont val="Tahoma"/>
            <family val="2"/>
          </rPr>
          <t xml:space="preserve"> 7/20~8/19 10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부가별도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8.01~ 20</t>
        </r>
        <r>
          <rPr>
            <sz val="9"/>
            <color indexed="81"/>
            <rFont val="돋움"/>
            <family val="3"/>
            <charset val="129"/>
          </rPr>
          <t>만원씩</t>
        </r>
      </text>
    </comment>
    <comment ref="G59" authorId="0" shapeId="0" xr:uid="{EBC94622-E3F4-45CD-99A9-6B42E208491E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신월드</t>
        </r>
      </text>
    </comment>
    <comment ref="G65" authorId="0" shapeId="0" xr:uid="{5BED351E-583F-4693-A7EF-0758B1B13773}">
      <text>
        <r>
          <rPr>
            <b/>
            <sz val="9"/>
            <color indexed="81"/>
            <rFont val="Tahoma"/>
            <family val="2"/>
          </rPr>
          <t>susu: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첫달</t>
        </r>
        <r>
          <rPr>
            <sz val="9"/>
            <color indexed="81"/>
            <rFont val="Tahoma"/>
            <family val="2"/>
          </rPr>
          <t xml:space="preserve"> 6/14~6/30 17</t>
        </r>
        <r>
          <rPr>
            <sz val="9"/>
            <color indexed="81"/>
            <rFont val="돋움"/>
            <family val="3"/>
            <charset val="129"/>
          </rPr>
          <t>일분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일할계산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 xml:space="preserve">발행
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한달분</t>
        </r>
        <r>
          <rPr>
            <sz val="9"/>
            <color indexed="81"/>
            <rFont val="Tahoma"/>
            <family val="2"/>
          </rPr>
          <t xml:space="preserve"> 7/15</t>
        </r>
        <r>
          <rPr>
            <sz val="9"/>
            <color indexed="81"/>
            <rFont val="돋움"/>
            <family val="3"/>
            <charset val="129"/>
          </rPr>
          <t>발행</t>
        </r>
      </text>
    </comment>
    <comment ref="G76" authorId="0" shapeId="0" xr:uid="{629939DC-D58C-481E-B37A-18F535CC0F8F}">
      <text>
        <r>
          <rPr>
            <sz val="9"/>
            <color indexed="81"/>
            <rFont val="돋움"/>
            <family val="3"/>
            <charset val="129"/>
          </rPr>
          <t>에이플랫폼 36,866,660
맞는금액 : 36,866,660
1~11월 발행금액 : 36,886,660
-&gt; 1~11월 20,000*11 220,000원 초과발행됨
=2023.12월분
 36,866,660-220,000=36,646,660원 발행예정</t>
        </r>
      </text>
    </comment>
    <comment ref="G83" authorId="3" shapeId="0" xr:uid="{3E1E82D5-979F-4DBC-B9BE-8E42743AA5BA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한번발행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케이씨에프인터내셔널</t>
        </r>
        <r>
          <rPr>
            <sz val="9"/>
            <color indexed="81"/>
            <rFont val="Tahoma"/>
            <family val="2"/>
          </rPr>
          <t xml:space="preserve"> 23.09</t>
        </r>
      </text>
    </comment>
    <comment ref="G89" authorId="3" shapeId="0" xr:uid="{7BF4CADA-1124-43FC-8130-2DD98C17081A}">
      <text>
        <r>
          <rPr>
            <b/>
            <sz val="9"/>
            <color indexed="81"/>
            <rFont val="Tahoma"/>
            <family val="2"/>
          </rPr>
          <t>sgkang: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비트팝</t>
        </r>
      </text>
    </comment>
  </commentList>
</comments>
</file>

<file path=xl/sharedStrings.xml><?xml version="1.0" encoding="utf-8"?>
<sst xmlns="http://schemas.openxmlformats.org/spreadsheetml/2006/main" count="1635" uniqueCount="947">
  <si>
    <t>순번</t>
    <phoneticPr fontId="3" type="noConversion"/>
  </si>
  <si>
    <t>거래처</t>
    <phoneticPr fontId="3" type="noConversion"/>
  </si>
  <si>
    <t>최초계약날짜</t>
    <phoneticPr fontId="3" type="noConversion"/>
  </si>
  <si>
    <t>계약기간</t>
    <phoneticPr fontId="3" type="noConversion"/>
  </si>
  <si>
    <t>계약갱신</t>
    <phoneticPr fontId="3" type="noConversion"/>
  </si>
  <si>
    <t>유지보수청구금액
(VAT별도)</t>
    <phoneticPr fontId="3" type="noConversion"/>
  </si>
  <si>
    <t>외주금액
(VAT별도)</t>
    <phoneticPr fontId="3" type="noConversion"/>
  </si>
  <si>
    <t>실계약금
(VAT별도)</t>
    <phoneticPr fontId="3" type="noConversion"/>
  </si>
  <si>
    <t>2008.07.01~2009.06.30</t>
    <phoneticPr fontId="3" type="noConversion"/>
  </si>
  <si>
    <t>포시즌</t>
    <phoneticPr fontId="3" type="noConversion"/>
  </si>
  <si>
    <t>사이넷</t>
    <phoneticPr fontId="3" type="noConversion"/>
  </si>
  <si>
    <t>이언커뮤니케이션즈</t>
    <phoneticPr fontId="3" type="noConversion"/>
  </si>
  <si>
    <t>그룹에이트</t>
    <phoneticPr fontId="3" type="noConversion"/>
  </si>
  <si>
    <t>에스아이지콤비블럭</t>
    <phoneticPr fontId="3" type="noConversion"/>
  </si>
  <si>
    <t>우양상선</t>
    <phoneticPr fontId="3" type="noConversion"/>
  </si>
  <si>
    <t>로얄캐닌코리아</t>
    <phoneticPr fontId="3" type="noConversion"/>
  </si>
  <si>
    <t>디자인코리아</t>
    <phoneticPr fontId="3" type="noConversion"/>
  </si>
  <si>
    <t>코난테크놀러지</t>
    <phoneticPr fontId="3" type="noConversion"/>
  </si>
  <si>
    <t>비쉐이코리아</t>
    <phoneticPr fontId="3" type="noConversion"/>
  </si>
  <si>
    <t>넥스트벤처투자</t>
    <phoneticPr fontId="3" type="noConversion"/>
  </si>
  <si>
    <t>소비코</t>
    <phoneticPr fontId="3" type="noConversion"/>
  </si>
  <si>
    <t>코마커뮤니케이션</t>
    <phoneticPr fontId="3" type="noConversion"/>
  </si>
  <si>
    <t>케이티(케이티스)</t>
    <phoneticPr fontId="3" type="noConversion"/>
  </si>
  <si>
    <t>가비아(생명윤리)</t>
    <phoneticPr fontId="3" type="noConversion"/>
  </si>
  <si>
    <t>불교문화사업단</t>
    <phoneticPr fontId="3" type="noConversion"/>
  </si>
  <si>
    <t>클라리언트</t>
    <phoneticPr fontId="3" type="noConversion"/>
  </si>
  <si>
    <t>엡코스코리아</t>
    <phoneticPr fontId="3" type="noConversion"/>
  </si>
  <si>
    <t>반포,사랑의어린이집외</t>
    <phoneticPr fontId="3" type="noConversion"/>
  </si>
  <si>
    <t>아데코코리아</t>
    <phoneticPr fontId="3" type="noConversion"/>
  </si>
  <si>
    <t>대연화학</t>
    <phoneticPr fontId="3" type="noConversion"/>
  </si>
  <si>
    <t>스펙트리스코리아</t>
    <phoneticPr fontId="3" type="noConversion"/>
  </si>
  <si>
    <t>유프레이트코리아</t>
    <phoneticPr fontId="3" type="noConversion"/>
  </si>
  <si>
    <t>코마코</t>
    <phoneticPr fontId="3" type="noConversion"/>
  </si>
  <si>
    <t>서미트캠프</t>
    <phoneticPr fontId="3" type="noConversion"/>
  </si>
  <si>
    <t>사랑의 복지관</t>
    <phoneticPr fontId="3" type="noConversion"/>
  </si>
  <si>
    <t>대우인스</t>
    <phoneticPr fontId="3" type="noConversion"/>
  </si>
  <si>
    <t>스트래티직마케팅</t>
    <phoneticPr fontId="3" type="noConversion"/>
  </si>
  <si>
    <t>유성물산</t>
    <phoneticPr fontId="3" type="noConversion"/>
  </si>
  <si>
    <t>법무법인 한백</t>
    <phoneticPr fontId="3" type="noConversion"/>
  </si>
  <si>
    <t>뮬러마티니코리아</t>
    <phoneticPr fontId="3" type="noConversion"/>
  </si>
  <si>
    <t>시믹코리아</t>
    <phoneticPr fontId="3" type="noConversion"/>
  </si>
  <si>
    <t>퍼미라</t>
    <phoneticPr fontId="3" type="noConversion"/>
  </si>
  <si>
    <t>롤랜드버거</t>
    <phoneticPr fontId="3" type="noConversion"/>
  </si>
  <si>
    <t>애드맨</t>
    <phoneticPr fontId="3" type="noConversion"/>
  </si>
  <si>
    <t>퍼스트어드밴티지</t>
    <phoneticPr fontId="3" type="noConversion"/>
  </si>
  <si>
    <t>2014년 유지보수 만기내역</t>
    <phoneticPr fontId="13" type="noConversion"/>
  </si>
  <si>
    <t>피엠씨엔제니어링</t>
    <phoneticPr fontId="3" type="noConversion"/>
  </si>
  <si>
    <t>한국로봇</t>
    <phoneticPr fontId="3" type="noConversion"/>
  </si>
  <si>
    <t>센게이지</t>
    <phoneticPr fontId="3" type="noConversion"/>
  </si>
  <si>
    <t>플렉트로닉스</t>
    <phoneticPr fontId="3" type="noConversion"/>
  </si>
  <si>
    <t>특허법인 이상</t>
    <phoneticPr fontId="3" type="noConversion"/>
  </si>
  <si>
    <t>삼성홀딩스</t>
    <phoneticPr fontId="3" type="noConversion"/>
  </si>
  <si>
    <t>헤모네틱스</t>
    <phoneticPr fontId="3" type="noConversion"/>
  </si>
  <si>
    <t>맨소래담</t>
    <phoneticPr fontId="3" type="noConversion"/>
  </si>
  <si>
    <t>베올리아워터</t>
    <phoneticPr fontId="3" type="noConversion"/>
  </si>
  <si>
    <t>프라다</t>
    <phoneticPr fontId="3" type="noConversion"/>
  </si>
  <si>
    <t>한국엠엠씨</t>
    <phoneticPr fontId="3" type="noConversion"/>
  </si>
  <si>
    <t>건정종합건축</t>
    <phoneticPr fontId="3" type="noConversion"/>
  </si>
  <si>
    <t>썬샤인로직스</t>
    <phoneticPr fontId="3" type="noConversion"/>
  </si>
  <si>
    <t>오릭스</t>
    <phoneticPr fontId="3" type="noConversion"/>
  </si>
  <si>
    <t>가비아(피아이에이)</t>
    <phoneticPr fontId="3" type="noConversion"/>
  </si>
  <si>
    <t>스펙트리스(오메가)</t>
    <phoneticPr fontId="3" type="noConversion"/>
  </si>
  <si>
    <t>케이로지스틱스</t>
    <phoneticPr fontId="3" type="noConversion"/>
  </si>
  <si>
    <t>서울디자인센터</t>
    <phoneticPr fontId="3" type="noConversion"/>
  </si>
  <si>
    <t>서울리마치과</t>
    <phoneticPr fontId="3" type="noConversion"/>
  </si>
  <si>
    <t>신원데이터넷</t>
    <phoneticPr fontId="3" type="noConversion"/>
  </si>
  <si>
    <t>2014.06.16</t>
    <phoneticPr fontId="3" type="noConversion"/>
  </si>
  <si>
    <t>2005.07.01</t>
    <phoneticPr fontId="3" type="noConversion"/>
  </si>
  <si>
    <t>2006.08.01</t>
    <phoneticPr fontId="3" type="noConversion"/>
  </si>
  <si>
    <t>2006.08.01~2009.07.31</t>
    <phoneticPr fontId="3" type="noConversion"/>
  </si>
  <si>
    <t>법무법인한백</t>
    <phoneticPr fontId="3" type="noConversion"/>
  </si>
  <si>
    <t>2007.02.12</t>
    <phoneticPr fontId="3" type="noConversion"/>
  </si>
  <si>
    <t>2007.02.12~2009.01.31</t>
    <phoneticPr fontId="3" type="noConversion"/>
  </si>
  <si>
    <t>포시즌</t>
    <phoneticPr fontId="3" type="noConversion"/>
  </si>
  <si>
    <t>2007.04.23</t>
    <phoneticPr fontId="3" type="noConversion"/>
  </si>
  <si>
    <t>2007.04.23~2009.03.22</t>
    <phoneticPr fontId="3" type="noConversion"/>
  </si>
  <si>
    <t>2007.12.01</t>
    <phoneticPr fontId="3" type="noConversion"/>
  </si>
  <si>
    <t>1월</t>
    <phoneticPr fontId="3" type="noConversion"/>
  </si>
  <si>
    <t>5월</t>
    <phoneticPr fontId="3" type="noConversion"/>
  </si>
  <si>
    <t>2009.02.01</t>
    <phoneticPr fontId="3" type="noConversion"/>
  </si>
  <si>
    <t>2009.04.20</t>
    <phoneticPr fontId="3" type="noConversion"/>
  </si>
  <si>
    <t>2009.05.01~2010.04.30</t>
    <phoneticPr fontId="3" type="noConversion"/>
  </si>
  <si>
    <t>2009.12.21</t>
    <phoneticPr fontId="3" type="noConversion"/>
  </si>
  <si>
    <t>2010.12.01</t>
    <phoneticPr fontId="3" type="noConversion"/>
  </si>
  <si>
    <t>2010.12.01~2011.11.30</t>
    <phoneticPr fontId="3" type="noConversion"/>
  </si>
  <si>
    <t>2011.02.01~2012.01.31</t>
    <phoneticPr fontId="3" type="noConversion"/>
  </si>
  <si>
    <t>2010.09.15</t>
    <phoneticPr fontId="3" type="noConversion"/>
  </si>
  <si>
    <t>2010.09.15~2011.09.30</t>
    <phoneticPr fontId="3" type="noConversion"/>
  </si>
  <si>
    <t>2010.11.09</t>
    <phoneticPr fontId="3" type="noConversion"/>
  </si>
  <si>
    <t>2010.11.03~2011.11.02</t>
    <phoneticPr fontId="3" type="noConversion"/>
  </si>
  <si>
    <t>2011.09.01</t>
    <phoneticPr fontId="3" type="noConversion"/>
  </si>
  <si>
    <t>2011.10.31</t>
    <phoneticPr fontId="3" type="noConversion"/>
  </si>
  <si>
    <t>2011.11.15~2012.10.15</t>
    <phoneticPr fontId="3" type="noConversion"/>
  </si>
  <si>
    <t>2016.04.01</t>
    <phoneticPr fontId="3" type="noConversion"/>
  </si>
  <si>
    <t>2016.04.01~2018.03.31</t>
    <phoneticPr fontId="3" type="noConversion"/>
  </si>
  <si>
    <t>4월</t>
    <phoneticPr fontId="3" type="noConversion"/>
  </si>
  <si>
    <t>2011.12.12</t>
    <phoneticPr fontId="3" type="noConversion"/>
  </si>
  <si>
    <t>2011.12.12~2012.06.11</t>
    <phoneticPr fontId="3" type="noConversion"/>
  </si>
  <si>
    <t>2012.01.30</t>
    <phoneticPr fontId="3" type="noConversion"/>
  </si>
  <si>
    <t>2012.02.01~2013.01.31</t>
    <phoneticPr fontId="3" type="noConversion"/>
  </si>
  <si>
    <t>2012.03.16</t>
    <phoneticPr fontId="3" type="noConversion"/>
  </si>
  <si>
    <t>2012.03.16~2013.02.15</t>
    <phoneticPr fontId="3" type="noConversion"/>
  </si>
  <si>
    <t>2012.03.27</t>
    <phoneticPr fontId="3" type="noConversion"/>
  </si>
  <si>
    <t>2012.03.27~2013.02.26</t>
    <phoneticPr fontId="3" type="noConversion"/>
  </si>
  <si>
    <t>2012.07.16</t>
    <phoneticPr fontId="3" type="noConversion"/>
  </si>
  <si>
    <t>2012.07.16~2013.06.15</t>
    <phoneticPr fontId="3" type="noConversion"/>
  </si>
  <si>
    <t>2012.11.15</t>
    <phoneticPr fontId="3" type="noConversion"/>
  </si>
  <si>
    <t>2012.11.15~2013.10.14</t>
    <phoneticPr fontId="3" type="noConversion"/>
  </si>
  <si>
    <t>2012.11.20</t>
    <phoneticPr fontId="3" type="noConversion"/>
  </si>
  <si>
    <t>2012.11.20~2013.10.19</t>
    <phoneticPr fontId="3" type="noConversion"/>
  </si>
  <si>
    <t>2013.01.22</t>
    <phoneticPr fontId="3" type="noConversion"/>
  </si>
  <si>
    <t>12월</t>
    <phoneticPr fontId="3" type="noConversion"/>
  </si>
  <si>
    <t>2013.05.01</t>
    <phoneticPr fontId="3" type="noConversion"/>
  </si>
  <si>
    <t>2013.05.01~2014.04.30</t>
    <phoneticPr fontId="3" type="noConversion"/>
  </si>
  <si>
    <t>2014.01.27</t>
    <phoneticPr fontId="3" type="noConversion"/>
  </si>
  <si>
    <t>2014.01.27~2015.01.26</t>
    <phoneticPr fontId="3" type="noConversion"/>
  </si>
  <si>
    <t>2014.03.20</t>
    <phoneticPr fontId="3" type="noConversion"/>
  </si>
  <si>
    <t>2014.03.20~2014.06.19</t>
    <phoneticPr fontId="3" type="noConversion"/>
  </si>
  <si>
    <t>6월</t>
    <phoneticPr fontId="3" type="noConversion"/>
  </si>
  <si>
    <t>2014.04.29</t>
    <phoneticPr fontId="3" type="noConversion"/>
  </si>
  <si>
    <t>2014.03.01</t>
    <phoneticPr fontId="3" type="noConversion"/>
  </si>
  <si>
    <t>2014.07.25</t>
    <phoneticPr fontId="3" type="noConversion"/>
  </si>
  <si>
    <t>2014.07.25~2015.07.27</t>
    <phoneticPr fontId="3" type="noConversion"/>
  </si>
  <si>
    <t>2015.03.01</t>
    <phoneticPr fontId="3" type="noConversion"/>
  </si>
  <si>
    <t>2015.03.01~2016.02.29</t>
    <phoneticPr fontId="3" type="noConversion"/>
  </si>
  <si>
    <t>대한예수교장로회영락교회</t>
    <phoneticPr fontId="3" type="noConversion"/>
  </si>
  <si>
    <t>2015.07.01</t>
    <phoneticPr fontId="3" type="noConversion"/>
  </si>
  <si>
    <t>2015.11.09</t>
    <phoneticPr fontId="3" type="noConversion"/>
  </si>
  <si>
    <t>2015.11.09~2016.03.08</t>
    <phoneticPr fontId="3" type="noConversion"/>
  </si>
  <si>
    <t>2016.02.01</t>
    <phoneticPr fontId="3" type="noConversion"/>
  </si>
  <si>
    <t>2016.02.01~2017.01.31</t>
    <phoneticPr fontId="3" type="noConversion"/>
  </si>
  <si>
    <t>2016.06.01</t>
    <phoneticPr fontId="3" type="noConversion"/>
  </si>
  <si>
    <t>합계</t>
    <phoneticPr fontId="3" type="noConversion"/>
  </si>
  <si>
    <t>비고</t>
    <phoneticPr fontId="3" type="noConversion"/>
  </si>
  <si>
    <t>해지사유</t>
    <phoneticPr fontId="3" type="noConversion"/>
  </si>
  <si>
    <t>담당자</t>
    <phoneticPr fontId="3" type="noConversion"/>
  </si>
  <si>
    <t>박상하</t>
    <phoneticPr fontId="3" type="noConversion"/>
  </si>
  <si>
    <t>임현섭</t>
    <phoneticPr fontId="3" type="noConversion"/>
  </si>
  <si>
    <t>서비스 불만</t>
    <phoneticPr fontId="3" type="noConversion"/>
  </si>
  <si>
    <t>말일</t>
    <phoneticPr fontId="3" type="noConversion"/>
  </si>
  <si>
    <t>케이티</t>
    <phoneticPr fontId="3" type="noConversion"/>
  </si>
  <si>
    <t>오라클피부과</t>
  </si>
  <si>
    <t>16년8월 유지보수매출총액</t>
    <phoneticPr fontId="3" type="noConversion"/>
  </si>
  <si>
    <t>9월변동</t>
    <phoneticPr fontId="3" type="noConversion"/>
  </si>
  <si>
    <t>16년9월 유지보수매출총액</t>
    <phoneticPr fontId="3" type="noConversion"/>
  </si>
  <si>
    <t>진두아이에스(6,7월분)</t>
    <phoneticPr fontId="3" type="noConversion"/>
  </si>
  <si>
    <t>진두아이에스(~15년)</t>
    <phoneticPr fontId="3" type="noConversion"/>
  </si>
  <si>
    <t>품목</t>
    <phoneticPr fontId="3" type="noConversion"/>
  </si>
  <si>
    <t>호주정부관광청</t>
    <phoneticPr fontId="3" type="noConversion"/>
  </si>
  <si>
    <t>호주정부관광청</t>
    <phoneticPr fontId="3" type="noConversion"/>
  </si>
  <si>
    <t>신규</t>
    <phoneticPr fontId="3" type="noConversion"/>
  </si>
  <si>
    <t>(구매양식에서 이동)</t>
    <phoneticPr fontId="3" type="noConversion"/>
  </si>
  <si>
    <t>크리에이티브통(렌탈)</t>
    <phoneticPr fontId="3" type="noConversion"/>
  </si>
  <si>
    <t>진두아이에스(8월분)</t>
    <phoneticPr fontId="3" type="noConversion"/>
  </si>
  <si>
    <t>-</t>
    <phoneticPr fontId="3" type="noConversion"/>
  </si>
  <si>
    <t>베올리아</t>
    <phoneticPr fontId="3" type="noConversion"/>
  </si>
  <si>
    <t>-</t>
    <phoneticPr fontId="3" type="noConversion"/>
  </si>
  <si>
    <t>-</t>
    <phoneticPr fontId="3" type="noConversion"/>
  </si>
  <si>
    <t>수량</t>
    <phoneticPr fontId="3" type="noConversion"/>
  </si>
  <si>
    <t>2016.10.20</t>
    <phoneticPr fontId="3" type="noConversion"/>
  </si>
  <si>
    <t>10월</t>
    <phoneticPr fontId="3" type="noConversion"/>
  </si>
  <si>
    <t>11월</t>
    <phoneticPr fontId="3" type="noConversion"/>
  </si>
  <si>
    <t>2016.11.11~2017.11.10</t>
    <phoneticPr fontId="3" type="noConversion"/>
  </si>
  <si>
    <t>2016.11.11</t>
    <phoneticPr fontId="3" type="noConversion"/>
  </si>
  <si>
    <t xml:space="preserve"> </t>
    <phoneticPr fontId="3" type="noConversion"/>
  </si>
  <si>
    <t>정보통신(파일 서버 및 온라인 백업)유지보수</t>
    <phoneticPr fontId="3" type="noConversion"/>
  </si>
  <si>
    <t>청구</t>
    <phoneticPr fontId="3" type="noConversion"/>
  </si>
  <si>
    <t>월 계약금액</t>
    <phoneticPr fontId="3" type="noConversion"/>
  </si>
  <si>
    <t>사업건명</t>
    <phoneticPr fontId="3" type="noConversion"/>
  </si>
  <si>
    <t>고객사명</t>
    <phoneticPr fontId="3" type="noConversion"/>
  </si>
  <si>
    <t>2017.01.18</t>
    <phoneticPr fontId="3" type="noConversion"/>
  </si>
  <si>
    <t>이영민</t>
    <phoneticPr fontId="3" type="noConversion"/>
  </si>
  <si>
    <t>오상력</t>
    <phoneticPr fontId="3" type="noConversion"/>
  </si>
  <si>
    <t>2017.03.01~2018.02.28</t>
    <phoneticPr fontId="3" type="noConversion"/>
  </si>
  <si>
    <t>4월 유지보수(정보통신시스템)</t>
    <phoneticPr fontId="3" type="noConversion"/>
  </si>
  <si>
    <t>1월 유지보수(정보통신시스템)</t>
    <phoneticPr fontId="3" type="noConversion"/>
  </si>
  <si>
    <t>커넥스</t>
    <phoneticPr fontId="3" type="noConversion"/>
  </si>
  <si>
    <t>매출일자</t>
    <phoneticPr fontId="3" type="noConversion"/>
  </si>
  <si>
    <t>2017.06.01~2018.05.31</t>
    <phoneticPr fontId="3" type="noConversion"/>
  </si>
  <si>
    <t>2017.03.01</t>
    <phoneticPr fontId="3" type="noConversion"/>
  </si>
  <si>
    <t>웨스트민스터신학대학원대학교</t>
    <phoneticPr fontId="3" type="noConversion"/>
  </si>
  <si>
    <t>9월 유지보수(정보통신시스템)</t>
    <phoneticPr fontId="3" type="noConversion"/>
  </si>
  <si>
    <t>2017.11.01</t>
    <phoneticPr fontId="3" type="noConversion"/>
  </si>
  <si>
    <t>G클라우드 외 임대료</t>
    <phoneticPr fontId="3" type="noConversion"/>
  </si>
  <si>
    <t>브랜탁코리아</t>
    <phoneticPr fontId="3" type="noConversion"/>
  </si>
  <si>
    <t>이상엽</t>
    <phoneticPr fontId="3" type="noConversion"/>
  </si>
  <si>
    <t>2018.04.06~2018.07.02</t>
    <phoneticPr fontId="3" type="noConversion"/>
  </si>
  <si>
    <t>매입액</t>
    <phoneticPr fontId="3" type="noConversion"/>
  </si>
  <si>
    <t>구매일자</t>
    <phoneticPr fontId="3" type="noConversion"/>
  </si>
  <si>
    <t>매입일자</t>
    <phoneticPr fontId="3" type="noConversion"/>
  </si>
  <si>
    <t>구매업체</t>
    <phoneticPr fontId="3" type="noConversion"/>
  </si>
  <si>
    <t>차액</t>
    <phoneticPr fontId="3" type="noConversion"/>
  </si>
  <si>
    <t>마진율</t>
    <phoneticPr fontId="3" type="noConversion"/>
  </si>
  <si>
    <t xml:space="preserve">Windows NT Server-Backup 3대  </t>
    <phoneticPr fontId="3" type="noConversion"/>
  </si>
  <si>
    <t>2018.08.01~2019.07.31</t>
    <phoneticPr fontId="3" type="noConversion"/>
  </si>
  <si>
    <t>매입일자</t>
    <phoneticPr fontId="3" type="noConversion"/>
  </si>
  <si>
    <t>2018.09.01~2019.08.31</t>
    <phoneticPr fontId="3" type="noConversion"/>
  </si>
  <si>
    <t>주식회사리오인더스트리</t>
    <phoneticPr fontId="3" type="noConversion"/>
  </si>
  <si>
    <t>서울대학교산학협력단</t>
    <phoneticPr fontId="3" type="noConversion"/>
  </si>
  <si>
    <t>역발행</t>
    <phoneticPr fontId="3" type="noConversion"/>
  </si>
  <si>
    <t>2018.10.01</t>
    <phoneticPr fontId="3" type="noConversion"/>
  </si>
  <si>
    <t>디에스케이</t>
    <phoneticPr fontId="3" type="noConversion"/>
  </si>
  <si>
    <t>12월 유지보수(정보통신시스템)</t>
    <phoneticPr fontId="3" type="noConversion"/>
  </si>
  <si>
    <t>라인메쎄</t>
    <phoneticPr fontId="3" type="noConversion"/>
  </si>
  <si>
    <t>2월 유지보수(정보통신시스템)</t>
  </si>
  <si>
    <t>3월 유지보수(정보통신시스템)</t>
    <phoneticPr fontId="3" type="noConversion"/>
  </si>
  <si>
    <t>제이앤지시스템</t>
    <phoneticPr fontId="3" type="noConversion"/>
  </si>
  <si>
    <t xml:space="preserve">법무부 서울지방교정청 </t>
    <phoneticPr fontId="3" type="noConversion"/>
  </si>
  <si>
    <t>유지관리</t>
    <phoneticPr fontId="3" type="noConversion"/>
  </si>
  <si>
    <t>한국문화예술위원회</t>
  </si>
  <si>
    <t>서버 시스템 유지보수</t>
    <phoneticPr fontId="3" type="noConversion"/>
  </si>
  <si>
    <t xml:space="preserve">동일드방레 </t>
  </si>
  <si>
    <t>시스템 통합유지보수</t>
    <phoneticPr fontId="3" type="noConversion"/>
  </si>
  <si>
    <t>5월 유지보수(정보통신시스템)</t>
  </si>
  <si>
    <t>크로네스코리아</t>
    <phoneticPr fontId="3" type="noConversion"/>
  </si>
  <si>
    <t>전산장비 통합유지보수 기술지원</t>
    <phoneticPr fontId="3" type="noConversion"/>
  </si>
  <si>
    <t>한국포스증권 (펀드온라인)</t>
    <phoneticPr fontId="3" type="noConversion"/>
  </si>
  <si>
    <t>티움바이오</t>
    <phoneticPr fontId="3" type="noConversion"/>
  </si>
  <si>
    <t>2019.06.01~2020.05.31</t>
    <phoneticPr fontId="3" type="noConversion"/>
  </si>
  <si>
    <t>2019.05.24~2020.05.23</t>
    <phoneticPr fontId="3" type="noConversion"/>
  </si>
  <si>
    <t>7월 유지보수(정보통신시스템)</t>
    <phoneticPr fontId="3" type="noConversion"/>
  </si>
  <si>
    <t>19년 6월</t>
    <phoneticPr fontId="3" type="noConversion"/>
  </si>
  <si>
    <t>계약종료</t>
    <phoneticPr fontId="3" type="noConversion"/>
  </si>
  <si>
    <r>
      <t xml:space="preserve">매출일자
</t>
    </r>
    <r>
      <rPr>
        <b/>
        <sz val="8"/>
        <color theme="1"/>
        <rFont val="맑은 고딕"/>
        <family val="3"/>
        <charset val="129"/>
        <scheme val="minor"/>
      </rPr>
      <t>(계산서작성일)</t>
    </r>
    <phoneticPr fontId="3" type="noConversion"/>
  </si>
  <si>
    <r>
      <t xml:space="preserve">요청일자
</t>
    </r>
    <r>
      <rPr>
        <b/>
        <sz val="8"/>
        <color theme="1"/>
        <rFont val="맑은 고딕"/>
        <family val="3"/>
        <charset val="129"/>
        <scheme val="minor"/>
      </rPr>
      <t>(실발행일)</t>
    </r>
    <phoneticPr fontId="3" type="noConversion"/>
  </si>
  <si>
    <t>뮬러코리아</t>
    <phoneticPr fontId="3" type="noConversion"/>
  </si>
  <si>
    <t>15일</t>
    <phoneticPr fontId="3" type="noConversion"/>
  </si>
  <si>
    <t>20일</t>
    <phoneticPr fontId="3" type="noConversion"/>
  </si>
  <si>
    <t>25일</t>
    <phoneticPr fontId="3" type="noConversion"/>
  </si>
  <si>
    <t>11일</t>
    <phoneticPr fontId="3" type="noConversion"/>
  </si>
  <si>
    <t>발행시기</t>
    <phoneticPr fontId="3" type="noConversion"/>
  </si>
  <si>
    <t xml:space="preserve">특이사항 </t>
    <phoneticPr fontId="3" type="noConversion"/>
  </si>
  <si>
    <t>2019.07.01~2020.06.30</t>
    <phoneticPr fontId="3" type="noConversion"/>
  </si>
  <si>
    <t>9월 유지보수(정보통신시스템)</t>
  </si>
  <si>
    <t>2019.09.01~2020.08.31</t>
    <phoneticPr fontId="3" type="noConversion"/>
  </si>
  <si>
    <t>코난테크놀로지</t>
    <phoneticPr fontId="3" type="noConversion"/>
  </si>
  <si>
    <t>코난테크놀로지 - 전화기외</t>
    <phoneticPr fontId="3" type="noConversion"/>
  </si>
  <si>
    <t>한국엠엠씨일렉트로닉스</t>
    <phoneticPr fontId="3" type="noConversion"/>
  </si>
  <si>
    <t>유성물산교역</t>
    <phoneticPr fontId="3" type="noConversion"/>
  </si>
  <si>
    <t>건정종합건축사사무소</t>
    <phoneticPr fontId="3" type="noConversion"/>
  </si>
  <si>
    <t>건정종합건축사사무소 - 백업 할부</t>
    <phoneticPr fontId="3" type="noConversion"/>
  </si>
  <si>
    <t>피엠씨엔지니어링</t>
    <phoneticPr fontId="3" type="noConversion"/>
  </si>
  <si>
    <t>센게이지러닝</t>
    <phoneticPr fontId="3" type="noConversion"/>
  </si>
  <si>
    <t>오릭스프라이빗</t>
    <phoneticPr fontId="3" type="noConversion"/>
  </si>
  <si>
    <t>로라텍스</t>
    <phoneticPr fontId="3" type="noConversion"/>
  </si>
  <si>
    <t>크리에이티브통</t>
    <phoneticPr fontId="3" type="noConversion"/>
  </si>
  <si>
    <t>케이엔에프뉴베르거</t>
    <phoneticPr fontId="3" type="noConversion"/>
  </si>
  <si>
    <t>코스텔</t>
    <phoneticPr fontId="3" type="noConversion"/>
  </si>
  <si>
    <t>반석정밀공업</t>
    <phoneticPr fontId="3" type="noConversion"/>
  </si>
  <si>
    <t>애드웨이즈한국</t>
    <phoneticPr fontId="3" type="noConversion"/>
  </si>
  <si>
    <t>로얄테크</t>
    <phoneticPr fontId="3" type="noConversion"/>
  </si>
  <si>
    <t>아비아렙스</t>
    <phoneticPr fontId="3" type="noConversion"/>
  </si>
  <si>
    <t>안다자산운용</t>
    <phoneticPr fontId="3" type="noConversion"/>
  </si>
  <si>
    <t>캘러웨이골프</t>
    <phoneticPr fontId="3" type="noConversion"/>
  </si>
  <si>
    <t>베이비유</t>
    <phoneticPr fontId="3" type="noConversion"/>
  </si>
  <si>
    <t>제이씨파트너스</t>
    <phoneticPr fontId="3" type="noConversion"/>
  </si>
  <si>
    <t>진두아이에스</t>
    <phoneticPr fontId="3" type="noConversion"/>
  </si>
  <si>
    <t>코클리어</t>
    <phoneticPr fontId="3" type="noConversion"/>
  </si>
  <si>
    <t>월드쿠리어</t>
    <phoneticPr fontId="3" type="noConversion"/>
  </si>
  <si>
    <t>가비아</t>
    <phoneticPr fontId="3" type="noConversion"/>
  </si>
  <si>
    <t>로로피아나</t>
    <phoneticPr fontId="3" type="noConversion"/>
  </si>
  <si>
    <t>제이씨웍스</t>
    <phoneticPr fontId="3" type="noConversion"/>
  </si>
  <si>
    <t>2016.01.04</t>
    <phoneticPr fontId="3" type="noConversion"/>
  </si>
  <si>
    <t>2010.01.29</t>
    <phoneticPr fontId="3" type="noConversion"/>
  </si>
  <si>
    <t>2018.08.14</t>
    <phoneticPr fontId="3" type="noConversion"/>
  </si>
  <si>
    <t>메리디안 디엔아이</t>
    <phoneticPr fontId="3" type="noConversion"/>
  </si>
  <si>
    <t>2020.07.20~2021.07.19</t>
    <phoneticPr fontId="3" type="noConversion"/>
  </si>
  <si>
    <t>젠지이스포츠</t>
    <phoneticPr fontId="3" type="noConversion"/>
  </si>
  <si>
    <t>분당러스크재활전문병원</t>
    <phoneticPr fontId="3" type="noConversion"/>
  </si>
  <si>
    <t>케이에스브이이스포츠</t>
    <phoneticPr fontId="3" type="noConversion"/>
  </si>
  <si>
    <t>2020.08.20~2021.08.19</t>
    <phoneticPr fontId="3" type="noConversion"/>
  </si>
  <si>
    <t>피아이에이자산운용</t>
    <phoneticPr fontId="3" type="noConversion"/>
  </si>
  <si>
    <t>10월 유지보수(정보통신시스템)</t>
  </si>
  <si>
    <t>01일</t>
    <phoneticPr fontId="3" type="noConversion"/>
  </si>
  <si>
    <t>2020.12.01~2021.11.30</t>
    <phoneticPr fontId="3" type="noConversion"/>
  </si>
  <si>
    <t>1월 유지보수(정보통신시스템)</t>
  </si>
  <si>
    <t>8월 유지보수(정보통신시스템)</t>
    <phoneticPr fontId="3" type="noConversion"/>
  </si>
  <si>
    <t>2018.07.01~2019.09.30</t>
    <phoneticPr fontId="3" type="noConversion"/>
  </si>
  <si>
    <t>2019.10.15~2020.02.29</t>
    <phoneticPr fontId="3" type="noConversion"/>
  </si>
  <si>
    <t>해지업체</t>
    <phoneticPr fontId="3" type="noConversion"/>
  </si>
  <si>
    <t>2019.11.01~ 현재까지 품의만 작성</t>
    <phoneticPr fontId="3" type="noConversion"/>
  </si>
  <si>
    <t>㈜아데코코리아</t>
  </si>
  <si>
    <t>㈜아데코코리아 - IDC</t>
  </si>
  <si>
    <t>IDC코로케이션 19" Rack Mount Full Rack Used외</t>
  </si>
  <si>
    <t>2008.06.20</t>
  </si>
  <si>
    <t>2015.05.01</t>
  </si>
  <si>
    <t>2019.10</t>
    <phoneticPr fontId="3" type="noConversion"/>
  </si>
  <si>
    <t>스펙트리스코리아㈜오메가엔지니어링지점 NT500R5H-K54D 노트북</t>
  </si>
  <si>
    <t>15U470-GA56K노트북 할부</t>
  </si>
  <si>
    <t>2014.05.15</t>
  </si>
  <si>
    <t>남양유업 주식회사</t>
  </si>
  <si>
    <t>신영업 vpn 9월 유지보수</t>
  </si>
  <si>
    <t>2018.07.01</t>
    <phoneticPr fontId="3" type="noConversion"/>
  </si>
  <si>
    <t>10월유지보수파일</t>
    <phoneticPr fontId="3" type="noConversion"/>
  </si>
  <si>
    <t>(주)에이에프티</t>
  </si>
  <si>
    <t>2018.07.16</t>
    <phoneticPr fontId="3" type="noConversion"/>
  </si>
  <si>
    <t>엘켐</t>
  </si>
  <si>
    <t>불교텔레비전</t>
  </si>
  <si>
    <t>1월 PC유지보수(정보통신시스템)</t>
  </si>
  <si>
    <t>1월 IT유지보수(정보통신시스템)</t>
  </si>
  <si>
    <t>에스큐앤티</t>
  </si>
  <si>
    <t xml:space="preserve">한국복지대학교 정보시스템 유지보수 계약(1월 수행) </t>
  </si>
  <si>
    <t>19.9월유지보수파일</t>
    <phoneticPr fontId="3" type="noConversion"/>
  </si>
  <si>
    <t>20.1월유지보수파일</t>
    <phoneticPr fontId="3" type="noConversion"/>
  </si>
  <si>
    <t>2018.08.01</t>
    <phoneticPr fontId="3" type="noConversion"/>
  </si>
  <si>
    <t>유지보수불만</t>
    <phoneticPr fontId="3" type="noConversion"/>
  </si>
  <si>
    <t>2월유지보수파일</t>
    <phoneticPr fontId="3" type="noConversion"/>
  </si>
  <si>
    <t>2019.09</t>
    <phoneticPr fontId="3" type="noConversion"/>
  </si>
  <si>
    <t>브랜탁</t>
  </si>
  <si>
    <t>3월 유지보수(정보통신시스템)</t>
  </si>
  <si>
    <t>PPC(피피씨)</t>
  </si>
  <si>
    <t>Service Fee (3월)-3월 유지보수(정보통신시스템)</t>
  </si>
  <si>
    <t>2018.02.01</t>
    <phoneticPr fontId="3" type="noConversion"/>
  </si>
  <si>
    <t>2019.10.15</t>
    <phoneticPr fontId="3" type="noConversion"/>
  </si>
  <si>
    <t>3월유지보수파일</t>
    <phoneticPr fontId="3" type="noConversion"/>
  </si>
  <si>
    <t>4월유지보수파일</t>
    <phoneticPr fontId="3" type="noConversion"/>
  </si>
  <si>
    <t>신원데이터넷</t>
  </si>
  <si>
    <t>4월 유지보수(정보통신시스템)</t>
  </si>
  <si>
    <t>2011.12.01</t>
  </si>
  <si>
    <t>넥스트벤처투자</t>
  </si>
  <si>
    <t>진두아이에스</t>
  </si>
  <si>
    <t>코코아비전</t>
  </si>
  <si>
    <t>2019.04.24~2020.04.23</t>
  </si>
  <si>
    <t>2019.04.24</t>
    <phoneticPr fontId="3" type="noConversion"/>
  </si>
  <si>
    <t>5월유지보수파일</t>
    <phoneticPr fontId="3" type="noConversion"/>
  </si>
  <si>
    <t>데일리</t>
  </si>
  <si>
    <t>2020.01.01</t>
  </si>
  <si>
    <t>2018.01.01</t>
    <phoneticPr fontId="3" type="noConversion"/>
  </si>
  <si>
    <t>6월유지보수파일</t>
    <phoneticPr fontId="3" type="noConversion"/>
  </si>
  <si>
    <t>스펙트리스코리아</t>
  </si>
  <si>
    <t>8월 유지보수(정보통신시스템)</t>
  </si>
  <si>
    <t>2009.08.28</t>
  </si>
  <si>
    <t>8월유지보수파일</t>
    <phoneticPr fontId="3" type="noConversion"/>
  </si>
  <si>
    <t>스펙트리스오메가</t>
  </si>
  <si>
    <t>2013.10.30</t>
  </si>
  <si>
    <t>노보텍</t>
  </si>
  <si>
    <t>서울대학교산학협력단</t>
  </si>
  <si>
    <t>WatchGuard Firebox M200방화벽 렌탈</t>
  </si>
  <si>
    <t>2017.11.01</t>
  </si>
  <si>
    <t>2020.10</t>
    <phoneticPr fontId="3" type="noConversion"/>
  </si>
  <si>
    <t>11월유지보수파일</t>
    <phoneticPr fontId="3" type="noConversion"/>
  </si>
  <si>
    <t xml:space="preserve">사용중인 VPN장비를 클라우드로 변환하면서 계약 해지요청 </t>
    <phoneticPr fontId="3" type="noConversion"/>
  </si>
  <si>
    <t>2018.09.01</t>
    <phoneticPr fontId="3" type="noConversion"/>
  </si>
  <si>
    <t>2018.10.01~2019.12.31</t>
    <phoneticPr fontId="3" type="noConversion"/>
  </si>
  <si>
    <t>엘켐재팬 서울지점과 계열사의 합병으로 인해 
계열사의 IT 유지보수 업체가 관리하게 되어 계약 해지를 요청함.</t>
    <phoneticPr fontId="3" type="noConversion"/>
  </si>
  <si>
    <t>김영하</t>
    <phoneticPr fontId="3" type="noConversion"/>
  </si>
  <si>
    <t>2018.02.19~2020.03.31</t>
    <phoneticPr fontId="3" type="noConversion"/>
  </si>
  <si>
    <t>2019년 4분기 이후부터 원격 지원이 원할히 이루어지지 않아 불만 쌓임 방문서비스 보다 원격서비스를 선호</t>
    <phoneticPr fontId="3" type="noConversion"/>
  </si>
  <si>
    <t>2011.12.01~2020.03.31</t>
    <phoneticPr fontId="3" type="noConversion"/>
  </si>
  <si>
    <t>자금사정으로 긴축재정에 의한 계약 해지 요청</t>
    <phoneticPr fontId="3" type="noConversion"/>
  </si>
  <si>
    <t>2018.01.01~2020.05.31</t>
    <phoneticPr fontId="3" type="noConversion"/>
  </si>
  <si>
    <t>2020.01.01~2020.05.31</t>
    <phoneticPr fontId="3" type="noConversion"/>
  </si>
  <si>
    <t>야놀자에서 인수합병으로 인해 계약 해지 요청</t>
    <phoneticPr fontId="3" type="noConversion"/>
  </si>
  <si>
    <t>2009.09.01~2020.07.31</t>
    <phoneticPr fontId="3" type="noConversion"/>
  </si>
  <si>
    <t>본사IT담당과의 의사소통 부족 및 관리소홀로 인한 계약 해지요청</t>
    <phoneticPr fontId="3" type="noConversion"/>
  </si>
  <si>
    <t>2013.11.01~2020.07.31</t>
    <phoneticPr fontId="3" type="noConversion"/>
  </si>
  <si>
    <t>스펙트리스 코리아 계약해지로 인한 통합해지</t>
    <phoneticPr fontId="3" type="noConversion"/>
  </si>
  <si>
    <t>2017.04.01</t>
    <phoneticPr fontId="3" type="noConversion"/>
  </si>
  <si>
    <t>IT 직원 채용</t>
    <phoneticPr fontId="3" type="noConversion"/>
  </si>
  <si>
    <t>신종민 대리 입사</t>
    <phoneticPr fontId="3" type="noConversion"/>
  </si>
  <si>
    <t>2017.11.01~2020.10.30</t>
    <phoneticPr fontId="3" type="noConversion"/>
  </si>
  <si>
    <t>관리대상 장비중 서버수량 증가 및 증액되어 방화벽은 렌탈 회수요청</t>
    <phoneticPr fontId="3" type="noConversion"/>
  </si>
  <si>
    <t>법무부 서울지방교정청 유지보수</t>
    <phoneticPr fontId="3" type="noConversion"/>
  </si>
  <si>
    <t>성균관대학교 통합정보시스템 주요서버 유지보수</t>
    <phoneticPr fontId="3" type="noConversion"/>
  </si>
  <si>
    <t>한국포스증권 전산장비 통합유지보수</t>
    <phoneticPr fontId="3" type="noConversion"/>
  </si>
  <si>
    <t xml:space="preserve">진두아이에스 회생절차개시신청으로 계약 해지 </t>
    <phoneticPr fontId="3" type="noConversion"/>
  </si>
  <si>
    <t>원격서비스 지원 유지보수</t>
    <phoneticPr fontId="3" type="noConversion"/>
  </si>
  <si>
    <t>2018.01.01~2020.11.30</t>
    <phoneticPr fontId="3" type="noConversion"/>
  </si>
  <si>
    <t>코로나로 인한 매출 감소 및 재택근무로 출근 안함</t>
    <phoneticPr fontId="3" type="noConversion"/>
  </si>
  <si>
    <t>동일드방레 통합 유지보수</t>
    <phoneticPr fontId="3" type="noConversion"/>
  </si>
  <si>
    <t>진두아이에스 계약갱신 실패</t>
    <phoneticPr fontId="3" type="noConversion"/>
  </si>
  <si>
    <t>네트워크유지보수</t>
    <phoneticPr fontId="3" type="noConversion"/>
  </si>
  <si>
    <t>2017.04.24~2020.09.23</t>
    <phoneticPr fontId="3" type="noConversion"/>
  </si>
  <si>
    <t>2018.09.01~2020.03.31</t>
    <phoneticPr fontId="3" type="noConversion"/>
  </si>
  <si>
    <t>2018.02.01~2020.02.28</t>
    <phoneticPr fontId="3" type="noConversion"/>
  </si>
  <si>
    <t>2018.08.01~2020.01.31</t>
    <phoneticPr fontId="3" type="noConversion"/>
  </si>
  <si>
    <t>2009.07.01~2019.08.31</t>
    <phoneticPr fontId="3" type="noConversion"/>
  </si>
  <si>
    <t>2015.05.01~2019.08.31</t>
    <phoneticPr fontId="3" type="noConversion"/>
  </si>
  <si>
    <t>2017.11.01~2019.09.30</t>
    <phoneticPr fontId="3" type="noConversion"/>
  </si>
  <si>
    <t>2018.07.16~2019.10.31</t>
    <phoneticPr fontId="3" type="noConversion"/>
  </si>
  <si>
    <t>2019.06.01~2020.05.31</t>
    <phoneticPr fontId="3" type="noConversion"/>
  </si>
  <si>
    <t>2019.05.24~2020.05.23</t>
    <phoneticPr fontId="3" type="noConversion"/>
  </si>
  <si>
    <t>해지월</t>
    <phoneticPr fontId="3" type="noConversion"/>
  </si>
  <si>
    <t>9월</t>
    <phoneticPr fontId="3" type="noConversion"/>
  </si>
  <si>
    <t>2019.06.01</t>
    <phoneticPr fontId="3" type="noConversion"/>
  </si>
  <si>
    <t>2019.07.01</t>
    <phoneticPr fontId="3" type="noConversion"/>
  </si>
  <si>
    <t>7월</t>
    <phoneticPr fontId="3" type="noConversion"/>
  </si>
  <si>
    <t>8월</t>
    <phoneticPr fontId="3" type="noConversion"/>
  </si>
  <si>
    <t>2월</t>
    <phoneticPr fontId="3" type="noConversion"/>
  </si>
  <si>
    <t>스펙트리스말번</t>
  </si>
  <si>
    <t>힐티코리아</t>
  </si>
  <si>
    <t>21.1월유지보수파일</t>
    <phoneticPr fontId="3" type="noConversion"/>
  </si>
  <si>
    <t>2020.01.01~2020.12.31</t>
  </si>
  <si>
    <t>2020.01.01</t>
    <phoneticPr fontId="3" type="noConversion"/>
  </si>
  <si>
    <t>2018.02.01~2018.12.31</t>
    <phoneticPr fontId="3" type="noConversion"/>
  </si>
  <si>
    <t>전산설비 유지보수(쿠콘 백업센터 금융 VAN 2월 수행분)</t>
  </si>
  <si>
    <t>전산설비 유지보수 계약(쿠콘 백업센터 금융 VAN 업무)_2월 수행분</t>
  </si>
  <si>
    <t>유지보수 3개월 이상 미입금, NAS복구 비용 200만원 미입금</t>
    <phoneticPr fontId="3" type="noConversion"/>
  </si>
  <si>
    <t>본사 규칙상 해드헌팅회사에서 상주를 지원해야함</t>
    <phoneticPr fontId="3" type="noConversion"/>
  </si>
  <si>
    <t>세일즈웍스</t>
    <phoneticPr fontId="3" type="noConversion"/>
  </si>
  <si>
    <t>2021.02.01~2022.01.31</t>
    <phoneticPr fontId="3" type="noConversion"/>
  </si>
  <si>
    <t>05일</t>
    <phoneticPr fontId="3" type="noConversion"/>
  </si>
  <si>
    <t>2021.02.01</t>
    <phoneticPr fontId="3" type="noConversion"/>
  </si>
  <si>
    <t>쿠콘</t>
  </si>
  <si>
    <t>2016.02.01</t>
  </si>
  <si>
    <t>2016.02.01~2021.01.31</t>
    <phoneticPr fontId="3" type="noConversion"/>
  </si>
  <si>
    <t>2017.07.01</t>
  </si>
  <si>
    <t>2017.07.01~2021.01.31</t>
    <phoneticPr fontId="3" type="noConversion"/>
  </si>
  <si>
    <t>케이지제로인</t>
    <phoneticPr fontId="3" type="noConversion"/>
  </si>
  <si>
    <t>2021.03.01</t>
    <phoneticPr fontId="3" type="noConversion"/>
  </si>
  <si>
    <t>2021.03.01~2022.02.28</t>
    <phoneticPr fontId="3" type="noConversion"/>
  </si>
  <si>
    <t>2021.03.12</t>
    <phoneticPr fontId="3" type="noConversion"/>
  </si>
  <si>
    <t>2021.03.12~2022.03.11</t>
    <phoneticPr fontId="3" type="noConversion"/>
  </si>
  <si>
    <t>BIZ INTERNET OFFICE-말번(3년약정)-2월분</t>
  </si>
  <si>
    <t>2013.08.10</t>
  </si>
  <si>
    <t>2021.03.19</t>
    <phoneticPr fontId="3" type="noConversion"/>
  </si>
  <si>
    <t>2021.03.19~2022.03.18</t>
    <phoneticPr fontId="3" type="noConversion"/>
  </si>
  <si>
    <t>에이치비플러</t>
    <phoneticPr fontId="3" type="noConversion"/>
  </si>
  <si>
    <t>21.03월유지보수파일</t>
    <phoneticPr fontId="3" type="noConversion"/>
  </si>
  <si>
    <t>오케이포스(한개로발행)</t>
    <phoneticPr fontId="3" type="noConversion"/>
  </si>
  <si>
    <t>2013.08.12~2021.02.17</t>
    <phoneticPr fontId="3" type="noConversion"/>
  </si>
  <si>
    <t>회선서비스 해지</t>
    <phoneticPr fontId="3" type="noConversion"/>
  </si>
  <si>
    <t>유지보수 해지</t>
    <phoneticPr fontId="3" type="noConversion"/>
  </si>
  <si>
    <t>에스원(바이젠셀-김준성)한개로발행</t>
  </si>
  <si>
    <t>유지수수료</t>
  </si>
  <si>
    <t>2020.12.11~2023.12.10</t>
  </si>
  <si>
    <t>매달금액변동으로 구매양식 전환</t>
    <phoneticPr fontId="3" type="noConversion"/>
  </si>
  <si>
    <t>2020.12.11</t>
    <phoneticPr fontId="3" type="noConversion"/>
  </si>
  <si>
    <t>김준성</t>
    <phoneticPr fontId="3" type="noConversion"/>
  </si>
  <si>
    <t>에스원(티움바이오-임현섭)한개로발행</t>
  </si>
  <si>
    <t>2020.07.01~2023.06.30</t>
  </si>
  <si>
    <t>에스원(피엠씨엔지니어링-김준성)한개로발행</t>
  </si>
  <si>
    <t>2020.08.08~2023.08.07</t>
  </si>
  <si>
    <t>에스원(판매수수료-김준성)한개로발행</t>
  </si>
  <si>
    <t>2021.01.28</t>
  </si>
  <si>
    <t>2021.01.28~2024.01.27</t>
  </si>
  <si>
    <t>2020.07.09</t>
    <phoneticPr fontId="3" type="noConversion"/>
  </si>
  <si>
    <t>2020.08.08</t>
    <phoneticPr fontId="3" type="noConversion"/>
  </si>
  <si>
    <t>넥스트셀 (두개 같이 발행)</t>
  </si>
  <si>
    <t>4월 통신비(3월사용분)</t>
  </si>
  <si>
    <t>2017.03.07</t>
    <phoneticPr fontId="3" type="noConversion"/>
  </si>
  <si>
    <t>서버 백업 유지보수 계약(5월분)</t>
  </si>
  <si>
    <t>강스템바이오텍</t>
  </si>
  <si>
    <t>2017.05.11~2018.05.10</t>
  </si>
  <si>
    <t>아이티더블유</t>
    <phoneticPr fontId="3" type="noConversion"/>
  </si>
  <si>
    <t>2021.05.17</t>
    <phoneticPr fontId="3" type="noConversion"/>
  </si>
  <si>
    <t>컴퍼니에이알</t>
    <phoneticPr fontId="3" type="noConversion"/>
  </si>
  <si>
    <t>2021.06.01</t>
    <phoneticPr fontId="3" type="noConversion"/>
  </si>
  <si>
    <t>IT 담당자 채용으로 인한 유지보수 계약 종료</t>
    <phoneticPr fontId="3" type="noConversion"/>
  </si>
  <si>
    <t>통신비 해지</t>
    <phoneticPr fontId="3" type="noConversion"/>
  </si>
  <si>
    <t>2017.03~2021.04</t>
    <phoneticPr fontId="3" type="noConversion"/>
  </si>
  <si>
    <t>2019.04.01~2020.03.31</t>
  </si>
  <si>
    <t>IT담당자 채용으로 인한 유지보수 계약 종료</t>
    <phoneticPr fontId="3" type="noConversion"/>
  </si>
  <si>
    <t>더엠컴퍼니</t>
    <phoneticPr fontId="3" type="noConversion"/>
  </si>
  <si>
    <t>2021.06.14</t>
    <phoneticPr fontId="3" type="noConversion"/>
  </si>
  <si>
    <t>2021.06.14~2022.06.13</t>
    <phoneticPr fontId="3" type="noConversion"/>
  </si>
  <si>
    <t>투비씨앤씨</t>
    <phoneticPr fontId="3" type="noConversion"/>
  </si>
  <si>
    <t>2021.07.01</t>
    <phoneticPr fontId="3" type="noConversion"/>
  </si>
  <si>
    <t>이스트스프링</t>
  </si>
  <si>
    <t>2018.01.01~2018.12.31</t>
  </si>
  <si>
    <t>엔제이디지털</t>
    <phoneticPr fontId="3" type="noConversion"/>
  </si>
  <si>
    <t>피에스케이홀딩스</t>
    <phoneticPr fontId="3" type="noConversion"/>
  </si>
  <si>
    <t>새로운 팀장 입사후 기존에 알고 있던 유지보수 업체로 변경</t>
    <phoneticPr fontId="3" type="noConversion"/>
  </si>
  <si>
    <t>사이람</t>
    <phoneticPr fontId="3" type="noConversion"/>
  </si>
  <si>
    <t>2021.08.01</t>
    <phoneticPr fontId="3" type="noConversion"/>
  </si>
  <si>
    <t>2021.08.01~2022.07.31</t>
    <phoneticPr fontId="3" type="noConversion"/>
  </si>
  <si>
    <t>크레도홀딩스</t>
    <phoneticPr fontId="3" type="noConversion"/>
  </si>
  <si>
    <t>인터콤어소시에이션</t>
    <phoneticPr fontId="3" type="noConversion"/>
  </si>
  <si>
    <t>2021.09.01</t>
    <phoneticPr fontId="3" type="noConversion"/>
  </si>
  <si>
    <t>2021.09.01~2022.08.31</t>
    <phoneticPr fontId="3" type="noConversion"/>
  </si>
  <si>
    <t>소바젠</t>
    <phoneticPr fontId="3" type="noConversion"/>
  </si>
  <si>
    <t>2021.09.23</t>
    <phoneticPr fontId="3" type="noConversion"/>
  </si>
  <si>
    <t>2021.09.23~2022.09.22</t>
    <phoneticPr fontId="3" type="noConversion"/>
  </si>
  <si>
    <t>스미토모전공</t>
    <phoneticPr fontId="3" type="noConversion"/>
  </si>
  <si>
    <t>퓨라토스</t>
    <phoneticPr fontId="3" type="noConversion"/>
  </si>
  <si>
    <t>2021.11.08</t>
    <phoneticPr fontId="3" type="noConversion"/>
  </si>
  <si>
    <t>맨소래덤</t>
    <phoneticPr fontId="3" type="noConversion"/>
  </si>
  <si>
    <t>디큐에스코리아</t>
    <phoneticPr fontId="3" type="noConversion"/>
  </si>
  <si>
    <t>2021.11.10</t>
    <phoneticPr fontId="3" type="noConversion"/>
  </si>
  <si>
    <t>2021.11.10~2022.11.09</t>
    <phoneticPr fontId="3" type="noConversion"/>
  </si>
  <si>
    <t>2021.12.01~2022.11.30</t>
    <phoneticPr fontId="3" type="noConversion"/>
  </si>
  <si>
    <t>2021.12.27</t>
    <phoneticPr fontId="3" type="noConversion"/>
  </si>
  <si>
    <t>2021.12.27~2022.12.26</t>
    <phoneticPr fontId="3" type="noConversion"/>
  </si>
  <si>
    <t>써브라임</t>
    <phoneticPr fontId="3" type="noConversion"/>
  </si>
  <si>
    <t>기산전자</t>
    <phoneticPr fontId="3" type="noConversion"/>
  </si>
  <si>
    <t>2022.01.10</t>
    <phoneticPr fontId="3" type="noConversion"/>
  </si>
  <si>
    <t>오라이언자산운용</t>
    <phoneticPr fontId="3" type="noConversion"/>
  </si>
  <si>
    <t>2022.02.03</t>
    <phoneticPr fontId="3" type="noConversion"/>
  </si>
  <si>
    <t>2022.02.03~2023.02.02</t>
    <phoneticPr fontId="3" type="noConversion"/>
  </si>
  <si>
    <t>폴라리움</t>
    <phoneticPr fontId="3" type="noConversion"/>
  </si>
  <si>
    <t>2022.02.23</t>
    <phoneticPr fontId="3" type="noConversion"/>
  </si>
  <si>
    <t>2022.02.23~2022.12.31</t>
    <phoneticPr fontId="3" type="noConversion"/>
  </si>
  <si>
    <t>바이젠셀</t>
    <phoneticPr fontId="3" type="noConversion"/>
  </si>
  <si>
    <t>2022.03.17</t>
    <phoneticPr fontId="3" type="noConversion"/>
  </si>
  <si>
    <t>2022.03.17~2023.03.16</t>
    <phoneticPr fontId="3" type="noConversion"/>
  </si>
  <si>
    <t>에스에이치알</t>
    <phoneticPr fontId="3" type="noConversion"/>
  </si>
  <si>
    <t>유니슨</t>
    <phoneticPr fontId="3" type="noConversion"/>
  </si>
  <si>
    <t>2022.03.01</t>
    <phoneticPr fontId="3" type="noConversion"/>
  </si>
  <si>
    <t>금액 이슈로 계약해지</t>
    <phoneticPr fontId="3" type="noConversion"/>
  </si>
  <si>
    <t>kt sat 오라클 서버 유지보수(1월,2월,3월)</t>
    <phoneticPr fontId="3" type="noConversion"/>
  </si>
  <si>
    <t>5월 유지보수(정보통신시스템)</t>
    <phoneticPr fontId="3" type="noConversion"/>
  </si>
  <si>
    <t xml:space="preserve">	장시간 재계약 미 실행으로 인한 계약종료</t>
    <phoneticPr fontId="3" type="noConversion"/>
  </si>
  <si>
    <t>김지운</t>
    <phoneticPr fontId="3" type="noConversion"/>
  </si>
  <si>
    <t>2017.10.01~2021.09.30</t>
    <phoneticPr fontId="3" type="noConversion"/>
  </si>
  <si>
    <t>포컴퍼니</t>
    <phoneticPr fontId="3" type="noConversion"/>
  </si>
  <si>
    <t>2022.05.23</t>
    <phoneticPr fontId="3" type="noConversion"/>
  </si>
  <si>
    <t>다미아니 코리아</t>
    <phoneticPr fontId="3" type="noConversion"/>
  </si>
  <si>
    <t>2022.05.13</t>
    <phoneticPr fontId="3" type="noConversion"/>
  </si>
  <si>
    <t>고객사 오라클 DB 유지보수 계약 해지</t>
    <phoneticPr fontId="3" type="noConversion"/>
  </si>
  <si>
    <t>전산직원 채용 및 경영악화로 인한 계약해지</t>
    <phoneticPr fontId="3" type="noConversion"/>
  </si>
  <si>
    <t>가이엔텍</t>
    <phoneticPr fontId="3" type="noConversion"/>
  </si>
  <si>
    <t>2022.04.25</t>
    <phoneticPr fontId="3" type="noConversion"/>
  </si>
  <si>
    <t>2022.04.25~2022.10.15</t>
    <phoneticPr fontId="3" type="noConversion"/>
  </si>
  <si>
    <t>2022.06.01</t>
    <phoneticPr fontId="3" type="noConversion"/>
  </si>
  <si>
    <t>한국마즈</t>
    <phoneticPr fontId="3" type="noConversion"/>
  </si>
  <si>
    <t>2022.02.01</t>
    <phoneticPr fontId="3" type="noConversion"/>
  </si>
  <si>
    <t>2022.02.01~2022.12.31</t>
    <phoneticPr fontId="3" type="noConversion"/>
  </si>
  <si>
    <t>첨부발행</t>
    <phoneticPr fontId="3" type="noConversion"/>
  </si>
  <si>
    <t>한국철도공사</t>
    <phoneticPr fontId="3" type="noConversion"/>
  </si>
  <si>
    <t>피엘아이</t>
    <phoneticPr fontId="3" type="noConversion"/>
  </si>
  <si>
    <t>첨부발행 wheelbin@korail.com, tax14@korail.com</t>
    <phoneticPr fontId="3" type="noConversion"/>
  </si>
  <si>
    <t>이시다코리아</t>
    <phoneticPr fontId="3" type="noConversion"/>
  </si>
  <si>
    <t>첨부발행 smkim@pli.co.kr</t>
    <phoneticPr fontId="3" type="noConversion"/>
  </si>
  <si>
    <t>유지보수: 무조건11일</t>
    <phoneticPr fontId="3" type="noConversion"/>
  </si>
  <si>
    <t>품목명'전산기기 납품' 규격,수량 공란</t>
    <phoneticPr fontId="3" type="noConversion"/>
  </si>
  <si>
    <t>아디안코리아</t>
    <phoneticPr fontId="3" type="noConversion"/>
  </si>
  <si>
    <t>다이멘션데이타</t>
    <phoneticPr fontId="3" type="noConversion"/>
  </si>
  <si>
    <t>엔티티코리아솔루션즈 로 상호변경</t>
    <phoneticPr fontId="3" type="noConversion"/>
  </si>
  <si>
    <t>제이디씨앤씨</t>
    <phoneticPr fontId="3" type="noConversion"/>
  </si>
  <si>
    <t>윤커뮤니케이션즈</t>
    <phoneticPr fontId="3" type="noConversion"/>
  </si>
  <si>
    <t>발행후 대금청구서 스캔후 메일발송</t>
    <phoneticPr fontId="3" type="noConversion"/>
  </si>
  <si>
    <t>에이치엘시스템 로 상호변경</t>
    <phoneticPr fontId="3" type="noConversion"/>
  </si>
  <si>
    <t>스펙트리스피엠에스</t>
    <phoneticPr fontId="3" type="noConversion"/>
  </si>
  <si>
    <t>스펙트리스</t>
    <phoneticPr fontId="3" type="noConversion"/>
  </si>
  <si>
    <t>2017.11.01~2018.10.31</t>
    <phoneticPr fontId="3" type="noConversion"/>
  </si>
  <si>
    <t>카카오게임즈</t>
    <phoneticPr fontId="3" type="noConversion"/>
  </si>
  <si>
    <t>2022.05.30</t>
    <phoneticPr fontId="3" type="noConversion"/>
  </si>
  <si>
    <t>2021.0801~2022.07.31</t>
    <phoneticPr fontId="3" type="noConversion"/>
  </si>
  <si>
    <t>서비스 불만족</t>
    <phoneticPr fontId="3" type="noConversion"/>
  </si>
  <si>
    <t>이정남</t>
    <phoneticPr fontId="3" type="noConversion"/>
  </si>
  <si>
    <t>토판일렉트로닉스</t>
    <phoneticPr fontId="3" type="noConversion"/>
  </si>
  <si>
    <t>본사 it팀에서 관리하기로함</t>
    <phoneticPr fontId="3" type="noConversion"/>
  </si>
  <si>
    <t>가비아임대료 인상</t>
    <phoneticPr fontId="3" type="noConversion"/>
  </si>
  <si>
    <t>정의기억연대</t>
    <phoneticPr fontId="3" type="noConversion"/>
  </si>
  <si>
    <t>2022.07.19</t>
    <phoneticPr fontId="3" type="noConversion"/>
  </si>
  <si>
    <t>인스보험중개주식회사</t>
    <phoneticPr fontId="3" type="noConversion"/>
  </si>
  <si>
    <t>세덕회계법인</t>
    <phoneticPr fontId="3" type="noConversion"/>
  </si>
  <si>
    <t>아다마코리아</t>
    <phoneticPr fontId="3" type="noConversion"/>
  </si>
  <si>
    <t>2019.07.01~2020.06.30</t>
  </si>
  <si>
    <t>2016.06.01~2017.05.31</t>
  </si>
  <si>
    <t>오스카앤컴퍼니</t>
    <phoneticPr fontId="3" type="noConversion"/>
  </si>
  <si>
    <t>03월</t>
  </si>
  <si>
    <t>03월</t>
    <phoneticPr fontId="3" type="noConversion"/>
  </si>
  <si>
    <t>04월</t>
    <phoneticPr fontId="3" type="noConversion"/>
  </si>
  <si>
    <t>09월</t>
  </si>
  <si>
    <t>09월</t>
    <phoneticPr fontId="3" type="noConversion"/>
  </si>
  <si>
    <t>11월</t>
  </si>
  <si>
    <t>06월</t>
    <phoneticPr fontId="3" type="noConversion"/>
  </si>
  <si>
    <t>01월</t>
  </si>
  <si>
    <t>01월</t>
    <phoneticPr fontId="3" type="noConversion"/>
  </si>
  <si>
    <t>02월</t>
  </si>
  <si>
    <t>02월</t>
    <phoneticPr fontId="3" type="noConversion"/>
  </si>
  <si>
    <t>07월</t>
  </si>
  <si>
    <t>07월</t>
    <phoneticPr fontId="3" type="noConversion"/>
  </si>
  <si>
    <t>05월</t>
  </si>
  <si>
    <t>05월</t>
    <phoneticPr fontId="3" type="noConversion"/>
  </si>
  <si>
    <t>08월</t>
  </si>
  <si>
    <t>08월</t>
    <phoneticPr fontId="3" type="noConversion"/>
  </si>
  <si>
    <t>일신건영㈜</t>
    <phoneticPr fontId="3" type="noConversion"/>
  </si>
  <si>
    <t>지티아이솔루션스 코리아</t>
    <phoneticPr fontId="3" type="noConversion"/>
  </si>
  <si>
    <t>2022.09.01</t>
    <phoneticPr fontId="3" type="noConversion"/>
  </si>
  <si>
    <t>2022.09.01~2023.08.31</t>
    <phoneticPr fontId="3" type="noConversion"/>
  </si>
  <si>
    <t>블라자스위스루브코리아</t>
    <phoneticPr fontId="3" type="noConversion"/>
  </si>
  <si>
    <t>2016.06.01</t>
  </si>
  <si>
    <t>유빈스(CJ통합) 주식회사</t>
  </si>
  <si>
    <t>2020.08.20~2021.08.19</t>
  </si>
  <si>
    <t>컨슈머인사이트</t>
    <phoneticPr fontId="3" type="noConversion"/>
  </si>
  <si>
    <t>2022.09.07</t>
    <phoneticPr fontId="3" type="noConversion"/>
  </si>
  <si>
    <t>2022.09.07~2023.09.06</t>
    <phoneticPr fontId="3" type="noConversion"/>
  </si>
  <si>
    <t>2013.01.22~2022.08.31</t>
    <phoneticPr fontId="3" type="noConversion"/>
  </si>
  <si>
    <t>직원수 감소, 유지보수 불필요</t>
    <phoneticPr fontId="3" type="noConversion"/>
  </si>
  <si>
    <t>티에이케이정보시스템</t>
    <phoneticPr fontId="3" type="noConversion"/>
  </si>
  <si>
    <t>2018.08.01~2022.08.31</t>
    <phoneticPr fontId="3" type="noConversion"/>
  </si>
  <si>
    <t>유지보수 주 사업자(티에이케이정보시스템) 통합 계약 수주 실패로 인한 업체 변경</t>
    <phoneticPr fontId="3" type="noConversion"/>
  </si>
  <si>
    <t>2017.01.18~2022.08.31</t>
    <phoneticPr fontId="3" type="noConversion"/>
  </si>
  <si>
    <t>서버는 AS 건수가 적었기 때문에 불필요하다고 생각해서 해지요청</t>
    <phoneticPr fontId="3" type="noConversion"/>
  </si>
  <si>
    <t>2016.01.04~2022.11.24</t>
    <phoneticPr fontId="3" type="noConversion"/>
  </si>
  <si>
    <t>2022.11.01</t>
    <phoneticPr fontId="3" type="noConversion"/>
  </si>
  <si>
    <t>토판포토일렉트로닉스</t>
    <phoneticPr fontId="3" type="noConversion"/>
  </si>
  <si>
    <t>2022.11.07</t>
    <phoneticPr fontId="3" type="noConversion"/>
  </si>
  <si>
    <t>2021.05.17~2022.10.31</t>
    <phoneticPr fontId="3" type="noConversion"/>
  </si>
  <si>
    <t>11월 유지보수(정보통신시스템)</t>
    <phoneticPr fontId="3" type="noConversion"/>
  </si>
  <si>
    <t>2022.10</t>
    <phoneticPr fontId="3" type="noConversion"/>
  </si>
  <si>
    <t>애드웨이즈코리아 폐업에 따른 유지보수 계약 해지</t>
    <phoneticPr fontId="3" type="noConversion"/>
  </si>
  <si>
    <t>계약기간이 종료됨에 따라 해지</t>
    <phoneticPr fontId="3" type="noConversion"/>
  </si>
  <si>
    <t>아이티더블유 입장)
PC 및 서버 유지보수 중, 자체인력으로 pc는 자체인력으로 서버는 as 건수가 적어서 유지보수 불필요하다고 판단
제이앤지시스템 대응)
22년 10월
IT담당자 윤태호 프로와 유지보수 미팅 요청하였으나
미팅거부, 별도의 미팅 필요 없으며 그냥 해지해달라고 요청</t>
    <phoneticPr fontId="3" type="noConversion"/>
  </si>
  <si>
    <t>2020.07.20</t>
    <phoneticPr fontId="3" type="noConversion"/>
  </si>
  <si>
    <t>경영악화로 인한 계약 종료</t>
    <phoneticPr fontId="3" type="noConversion"/>
  </si>
  <si>
    <t>피아이에이홀딩스 /구)피아이에이</t>
    <phoneticPr fontId="3" type="noConversion"/>
  </si>
  <si>
    <t>2021.06.01~2022.12.31</t>
    <phoneticPr fontId="3" type="noConversion"/>
  </si>
  <si>
    <t>회사 내부사정에 따른 유지보수 계약 해지</t>
    <phoneticPr fontId="3" type="noConversion"/>
  </si>
  <si>
    <t>발주번호ㅇ= 기재 발행 !!</t>
    <phoneticPr fontId="3" type="noConversion"/>
  </si>
  <si>
    <t>2023.01.01~2023.12.31</t>
    <phoneticPr fontId="3" type="noConversion"/>
  </si>
  <si>
    <t>2020.08.01</t>
    <phoneticPr fontId="3" type="noConversion"/>
  </si>
  <si>
    <t>2020.08.01~2023.01.31</t>
    <phoneticPr fontId="3" type="noConversion"/>
  </si>
  <si>
    <t>방화벽 장비 불필요</t>
    <phoneticPr fontId="3" type="noConversion"/>
  </si>
  <si>
    <t>2021.07.01~2022.12.31</t>
    <phoneticPr fontId="3" type="noConversion"/>
  </si>
  <si>
    <t>박성준 대리 인주상력, 근무환경 불만 퇴사</t>
    <phoneticPr fontId="3" type="noConversion"/>
  </si>
  <si>
    <t>2009.02.01~2023.01.31</t>
    <phoneticPr fontId="3" type="noConversion"/>
  </si>
  <si>
    <t>자체 관리 예정</t>
    <phoneticPr fontId="3" type="noConversion"/>
  </si>
  <si>
    <t>2023.02.06~2024.02.05</t>
    <phoneticPr fontId="3" type="noConversion"/>
  </si>
  <si>
    <t>렌탈이랑</t>
    <phoneticPr fontId="3" type="noConversion"/>
  </si>
  <si>
    <t>레즈메드헬스</t>
    <phoneticPr fontId="3" type="noConversion"/>
  </si>
  <si>
    <t>비고 '피오번호' 기재</t>
    <phoneticPr fontId="3" type="noConversion"/>
  </si>
  <si>
    <t>2023.01.01~2023.12.31</t>
  </si>
  <si>
    <t>정보통신시스템(서버,네트워크 장비 외)유지보수_3월 수행분</t>
  </si>
  <si>
    <t>유지보수 금액 이슈로 협의 하였으나 계약 해지 하게됨_(경영지원팀 기입)</t>
    <phoneticPr fontId="3" type="noConversion"/>
  </si>
  <si>
    <t>코리아료산</t>
    <phoneticPr fontId="3" type="noConversion"/>
  </si>
  <si>
    <t>2023.03.20</t>
    <phoneticPr fontId="3" type="noConversion"/>
  </si>
  <si>
    <t>3월</t>
    <phoneticPr fontId="3" type="noConversion"/>
  </si>
  <si>
    <t>2023.04.01~2024.03.31</t>
    <phoneticPr fontId="3" type="noConversion"/>
  </si>
  <si>
    <t>2023.04.01</t>
    <phoneticPr fontId="3" type="noConversion"/>
  </si>
  <si>
    <t>아이이씨코리아</t>
    <phoneticPr fontId="3" type="noConversion"/>
  </si>
  <si>
    <t>대상장비 클라우드로 전환</t>
    <phoneticPr fontId="3" type="noConversion"/>
  </si>
  <si>
    <t>이정현</t>
    <phoneticPr fontId="3" type="noConversion"/>
  </si>
  <si>
    <t>오릭스캐피탈</t>
    <phoneticPr fontId="3" type="noConversion"/>
  </si>
  <si>
    <t>메리디안글로벌</t>
    <phoneticPr fontId="3" type="noConversion"/>
  </si>
  <si>
    <t>2023.05.01</t>
    <phoneticPr fontId="3" type="noConversion"/>
  </si>
  <si>
    <t>쿠도에셋파트너스 /구)피아이에이인프라</t>
  </si>
  <si>
    <t>2020.08.20</t>
    <phoneticPr fontId="3" type="noConversion"/>
  </si>
  <si>
    <t xml:space="preserve">인원 감축으로 인해 자체 유지보수 진행
</t>
    <phoneticPr fontId="3" type="noConversion"/>
  </si>
  <si>
    <t>2023.04.20</t>
    <phoneticPr fontId="3" type="noConversion"/>
  </si>
  <si>
    <t>2023.04.20~2025.12.31</t>
    <phoneticPr fontId="3" type="noConversion"/>
  </si>
  <si>
    <t>고객사내 정식 직원 채용으로 계약 해지</t>
    <phoneticPr fontId="3" type="noConversion"/>
  </si>
  <si>
    <t>아이센트</t>
    <phoneticPr fontId="3" type="noConversion"/>
  </si>
  <si>
    <t>요꼬가와전기</t>
    <phoneticPr fontId="3" type="noConversion"/>
  </si>
  <si>
    <t>2016.10.20~2023.05.31</t>
    <phoneticPr fontId="3" type="noConversion"/>
  </si>
  <si>
    <t>본사 유지보수 통합</t>
    <phoneticPr fontId="3" type="noConversion"/>
  </si>
  <si>
    <t>6월 유지보수(정보통신시스템)</t>
  </si>
  <si>
    <t>코난테크놀로지</t>
    <phoneticPr fontId="3" type="noConversion"/>
  </si>
  <si>
    <t>2023.06.01</t>
    <phoneticPr fontId="3" type="noConversion"/>
  </si>
  <si>
    <t>2023.06.01~2024.05.31</t>
    <phoneticPr fontId="3" type="noConversion"/>
  </si>
  <si>
    <t>5월</t>
    <phoneticPr fontId="3" type="noConversion"/>
  </si>
  <si>
    <t>15일</t>
    <phoneticPr fontId="3" type="noConversion"/>
  </si>
  <si>
    <t>홍콩관광진흥청</t>
    <phoneticPr fontId="3" type="noConversion"/>
  </si>
  <si>
    <t>나이츠넷</t>
    <phoneticPr fontId="3" type="noConversion"/>
  </si>
  <si>
    <t>5월</t>
    <phoneticPr fontId="3" type="noConversion"/>
  </si>
  <si>
    <t>터보윈</t>
    <phoneticPr fontId="3" type="noConversion"/>
  </si>
  <si>
    <t>2023.07.01~2024.06.30</t>
    <phoneticPr fontId="3" type="noConversion"/>
  </si>
  <si>
    <t>2017.06.01</t>
    <phoneticPr fontId="3" type="noConversion"/>
  </si>
  <si>
    <t>내부감사로 인한 보안문제로 해약</t>
    <phoneticPr fontId="3" type="noConversion"/>
  </si>
  <si>
    <t>마이스리치</t>
  </si>
  <si>
    <t>2021.02.08</t>
  </si>
  <si>
    <t>2021.02.08~2022.02.07</t>
  </si>
  <si>
    <t>내부적으로 자체 유지보수</t>
    <phoneticPr fontId="3" type="noConversion"/>
  </si>
  <si>
    <t>7월 유지보수(정보통신시스템)</t>
  </si>
  <si>
    <t>에이비디브이</t>
  </si>
  <si>
    <t>2022.02.07</t>
  </si>
  <si>
    <t>2022.02.07~2023.07.03</t>
    <phoneticPr fontId="3" type="noConversion"/>
  </si>
  <si>
    <t>자체 관리, 3일분 환불</t>
    <phoneticPr fontId="3" type="noConversion"/>
  </si>
  <si>
    <t>2023.06.29~2024.06.28</t>
    <phoneticPr fontId="3" type="noConversion"/>
  </si>
  <si>
    <t>유지보수:첨부발행</t>
    <phoneticPr fontId="3" type="noConversion"/>
  </si>
  <si>
    <t>2023.08.01~2024.07.31</t>
    <phoneticPr fontId="3" type="noConversion"/>
  </si>
  <si>
    <t>7월</t>
    <phoneticPr fontId="3" type="noConversion"/>
  </si>
  <si>
    <t>2023.07.12~2023.07.11</t>
    <phoneticPr fontId="3" type="noConversion"/>
  </si>
  <si>
    <t>2023.08.28</t>
    <phoneticPr fontId="3" type="noConversion"/>
  </si>
  <si>
    <t>상무님 요청시</t>
    <phoneticPr fontId="3" type="noConversion"/>
  </si>
  <si>
    <t>화일약품</t>
    <phoneticPr fontId="3" type="noConversion"/>
  </si>
  <si>
    <t>2022.10.06</t>
    <phoneticPr fontId="3" type="noConversion"/>
  </si>
  <si>
    <t>2022.10.06~2023.10.05</t>
    <phoneticPr fontId="3" type="noConversion"/>
  </si>
  <si>
    <t>애플씨</t>
    <phoneticPr fontId="3" type="noConversion"/>
  </si>
  <si>
    <t>피앤엠</t>
    <phoneticPr fontId="3" type="noConversion"/>
  </si>
  <si>
    <t>2023.09.22</t>
    <phoneticPr fontId="3" type="noConversion"/>
  </si>
  <si>
    <t>2023.09.22~2024.09.21</t>
    <phoneticPr fontId="3" type="noConversion"/>
  </si>
  <si>
    <t>케이티엔지니어링</t>
    <phoneticPr fontId="3" type="noConversion"/>
  </si>
  <si>
    <t>2023.10.01</t>
    <phoneticPr fontId="3" type="noConversion"/>
  </si>
  <si>
    <t>2023.10.01~2024.09.30</t>
    <phoneticPr fontId="3" type="noConversion"/>
  </si>
  <si>
    <t>브이플랫폼</t>
    <phoneticPr fontId="3" type="noConversion"/>
  </si>
  <si>
    <t>2023.10.06</t>
    <phoneticPr fontId="3" type="noConversion"/>
  </si>
  <si>
    <t>2023.10.06~2024.10.05</t>
    <phoneticPr fontId="3" type="noConversion"/>
  </si>
  <si>
    <t>유지보수 : sung_woo.hong@kt.com</t>
    <phoneticPr fontId="3" type="noConversion"/>
  </si>
  <si>
    <t>2023.11.12~2024.11.11</t>
    <phoneticPr fontId="3" type="noConversion"/>
  </si>
  <si>
    <t>발행전 영업담당자에게 캡쳐본전달</t>
    <phoneticPr fontId="3" type="noConversion"/>
  </si>
  <si>
    <t>2023.12.01~2024.12.31</t>
    <phoneticPr fontId="3" type="noConversion"/>
  </si>
  <si>
    <t>모벤시스㈜</t>
    <phoneticPr fontId="3" type="noConversion"/>
  </si>
  <si>
    <t>2024.01.01</t>
    <phoneticPr fontId="3" type="noConversion"/>
  </si>
  <si>
    <t>2024.01.01~2024.12.31</t>
    <phoneticPr fontId="3" type="noConversion"/>
  </si>
  <si>
    <t>1월</t>
  </si>
  <si>
    <t>팬택씨앤아이엔지니어링</t>
    <phoneticPr fontId="3" type="noConversion"/>
  </si>
  <si>
    <t>큐냅3ea (12월)</t>
    <phoneticPr fontId="3" type="noConversion"/>
  </si>
  <si>
    <t>시놀로지 (12월)</t>
    <phoneticPr fontId="3" type="noConversion"/>
  </si>
  <si>
    <t>2022.07.19~2023.12.28</t>
    <phoneticPr fontId="3" type="noConversion"/>
  </si>
  <si>
    <t>클라우드로 전환</t>
    <phoneticPr fontId="3" type="noConversion"/>
  </si>
  <si>
    <t>대성미생물연구소</t>
    <phoneticPr fontId="3" type="noConversion"/>
  </si>
  <si>
    <t>경기도교육정보기록원_통합유지보수 (1월분)</t>
    <phoneticPr fontId="3" type="noConversion"/>
  </si>
  <si>
    <t>2024.01.15</t>
    <phoneticPr fontId="3" type="noConversion"/>
  </si>
  <si>
    <t>2024.01.15~2025.01.14</t>
    <phoneticPr fontId="3" type="noConversion"/>
  </si>
  <si>
    <t>고객사의 기존 유지보수 대상인 학교 홈페이지 웹호스팅 서비스 종료(24년 2월말)로 인해 주사업자인 니트로아이가 사업을 접게 되어 입찰참여가 불가 하게 됨.</t>
    <phoneticPr fontId="3" type="noConversion"/>
  </si>
  <si>
    <t>정진지식재산연구소</t>
    <phoneticPr fontId="3" type="noConversion"/>
  </si>
  <si>
    <t>2020.06.18~2021.06.17</t>
  </si>
  <si>
    <t>2020.06.18</t>
    <phoneticPr fontId="3" type="noConversion"/>
  </si>
  <si>
    <t>회사 사정이 어려워 유지보수 해약</t>
    <phoneticPr fontId="3" type="noConversion"/>
  </si>
  <si>
    <t>쿠콘</t>
    <phoneticPr fontId="3" type="noConversion"/>
  </si>
  <si>
    <t>핵가족</t>
    <phoneticPr fontId="3" type="noConversion"/>
  </si>
  <si>
    <t>2024.02.14</t>
    <phoneticPr fontId="3" type="noConversion"/>
  </si>
  <si>
    <t>2월</t>
    <phoneticPr fontId="3" type="noConversion"/>
  </si>
  <si>
    <t>2024.02.01</t>
    <phoneticPr fontId="3" type="noConversion"/>
  </si>
  <si>
    <t>2024.02.01~2025.01.31</t>
    <phoneticPr fontId="3" type="noConversion"/>
  </si>
  <si>
    <t>케이티아이에스</t>
    <phoneticPr fontId="3" type="noConversion"/>
  </si>
  <si>
    <t>오라클 유지보수(3월)</t>
  </si>
  <si>
    <t>대한응급구조사협회</t>
    <phoneticPr fontId="3" type="noConversion"/>
  </si>
  <si>
    <t>2024.03.04</t>
    <phoneticPr fontId="3" type="noConversion"/>
  </si>
  <si>
    <t>2024.03.04~2025.03.03</t>
    <phoneticPr fontId="3" type="noConversion"/>
  </si>
  <si>
    <t>2023.01.01</t>
    <phoneticPr fontId="3" type="noConversion"/>
  </si>
  <si>
    <t>계약구조변경으로 해지</t>
    <phoneticPr fontId="3" type="noConversion"/>
  </si>
  <si>
    <t>센소파트</t>
    <phoneticPr fontId="3" type="noConversion"/>
  </si>
  <si>
    <t>2024.03.01</t>
    <phoneticPr fontId="3" type="noConversion"/>
  </si>
  <si>
    <t>2024.03.01~2025.02.29</t>
    <phoneticPr fontId="3" type="noConversion"/>
  </si>
  <si>
    <t>2024.04.01~2025.03.31</t>
    <phoneticPr fontId="3" type="noConversion"/>
  </si>
  <si>
    <t>아이아크</t>
    <phoneticPr fontId="3" type="noConversion"/>
  </si>
  <si>
    <t>2017.06.22</t>
    <phoneticPr fontId="3" type="noConversion"/>
  </si>
  <si>
    <t>송시원</t>
    <phoneticPr fontId="3" type="noConversion"/>
  </si>
  <si>
    <t>2024.01.01~2026.12.31</t>
    <phoneticPr fontId="3" type="noConversion"/>
  </si>
  <si>
    <t>3,6,9,12월 말일</t>
    <phoneticPr fontId="3" type="noConversion"/>
  </si>
  <si>
    <t>에이치씨코퍼레이션</t>
    <phoneticPr fontId="3" type="noConversion"/>
  </si>
  <si>
    <t>2024.04.01</t>
    <phoneticPr fontId="3" type="noConversion"/>
  </si>
  <si>
    <t>2024.04.01~2024.03.31</t>
    <phoneticPr fontId="3" type="noConversion"/>
  </si>
  <si>
    <t>2017.06.20~2024.04.14</t>
    <phoneticPr fontId="3" type="noConversion"/>
  </si>
  <si>
    <t>2023.08.28~2024.03.17</t>
    <phoneticPr fontId="3" type="noConversion"/>
  </si>
  <si>
    <t>회사내부사정으로 상주가 아닌 직원 채용</t>
    <phoneticPr fontId="3" type="noConversion"/>
  </si>
  <si>
    <t>포어스딜라이트</t>
    <phoneticPr fontId="3" type="noConversion"/>
  </si>
  <si>
    <t>2024.05.01</t>
    <phoneticPr fontId="3" type="noConversion"/>
  </si>
  <si>
    <t>2024.05.01~2025.04.30</t>
    <phoneticPr fontId="3" type="noConversion"/>
  </si>
  <si>
    <t>롯데이노베이트 /전)케이지아이씨티</t>
    <phoneticPr fontId="3" type="noConversion"/>
  </si>
  <si>
    <t>유지보수: 메일(sayoon) 발행시 '메일'은 출력시 표기되게 기재!!! /상품매출: 메일은 매번 다름!! 발행시 '비고란:담당자' 입력, '메일'은 출력시 표기되게 기재!!!</t>
    <phoneticPr fontId="3" type="noConversion"/>
  </si>
  <si>
    <t>한독상공회의소디인터네셔널</t>
    <phoneticPr fontId="3" type="noConversion"/>
  </si>
  <si>
    <t>비전스튜디오/전)비전홀딩스</t>
    <phoneticPr fontId="3" type="noConversion"/>
  </si>
  <si>
    <t>6월 유지보수(정보통신시스템)</t>
    <phoneticPr fontId="3" type="noConversion"/>
  </si>
  <si>
    <t>서진공조</t>
    <phoneticPr fontId="3" type="noConversion"/>
  </si>
  <si>
    <t>블랙우드리뉴어블스</t>
    <phoneticPr fontId="3" type="noConversion"/>
  </si>
  <si>
    <t>회선료 : 비고 'JNG_KORENT 회선서비스 이용료 및 임대료&amp;인터넷 전화 요금(9월분)' 기재</t>
    <phoneticPr fontId="3" type="noConversion"/>
  </si>
  <si>
    <t>지속적인 미수 발생으로 인해 나이츠넷과 계약 해지 후 포어스 딜라이트와 7월 중 재계약 예정</t>
    <phoneticPr fontId="3" type="noConversion"/>
  </si>
  <si>
    <t>당사의 방배동 철수로 인해 유지보수 계약 해지</t>
    <phoneticPr fontId="3" type="noConversion"/>
  </si>
  <si>
    <t>2007.12.01~2024.06.30</t>
    <phoneticPr fontId="3" type="noConversion"/>
  </si>
  <si>
    <t>2024.07.01</t>
    <phoneticPr fontId="3" type="noConversion"/>
  </si>
  <si>
    <t>와플원</t>
    <phoneticPr fontId="3" type="noConversion"/>
  </si>
  <si>
    <t>파트너코코리아(유)</t>
    <phoneticPr fontId="3" type="noConversion"/>
  </si>
  <si>
    <t>인카금융서비스</t>
    <phoneticPr fontId="3" type="noConversion"/>
  </si>
  <si>
    <t>2024.08.05</t>
    <phoneticPr fontId="3" type="noConversion"/>
  </si>
  <si>
    <t>2022.08.30</t>
  </si>
  <si>
    <t>2022.08.30~2022.08.29</t>
  </si>
  <si>
    <t>업체 합병 및 자금난</t>
    <phoneticPr fontId="3" type="noConversion"/>
  </si>
  <si>
    <t>케이티아이에스</t>
    <phoneticPr fontId="3" type="noConversion"/>
  </si>
  <si>
    <t>현대선기</t>
    <phoneticPr fontId="3" type="noConversion"/>
  </si>
  <si>
    <t>2024.09.03</t>
    <phoneticPr fontId="3" type="noConversion"/>
  </si>
  <si>
    <t>2024.09.03~2025.09.02</t>
    <phoneticPr fontId="3" type="noConversion"/>
  </si>
  <si>
    <t>2024.08.01~2024.12.31</t>
    <phoneticPr fontId="3" type="noConversion"/>
  </si>
  <si>
    <t>2024.08.19</t>
    <phoneticPr fontId="3" type="noConversion"/>
  </si>
  <si>
    <t>에이치씨코퍼레이션</t>
    <phoneticPr fontId="3" type="noConversion"/>
  </si>
  <si>
    <t>2024.07.01</t>
    <phoneticPr fontId="3" type="noConversion"/>
  </si>
  <si>
    <t>2024.07.01~2025.06.30</t>
    <phoneticPr fontId="3" type="noConversion"/>
  </si>
  <si>
    <t>6월</t>
    <phoneticPr fontId="3" type="noConversion"/>
  </si>
  <si>
    <t>9,12,3,6월 말일</t>
    <phoneticPr fontId="3" type="noConversion"/>
  </si>
  <si>
    <t>2024.11.01~2025.10.31</t>
    <phoneticPr fontId="3" type="noConversion"/>
  </si>
  <si>
    <t>2024.11.01</t>
    <phoneticPr fontId="3" type="noConversion"/>
  </si>
  <si>
    <t>에스아이지콤비블럭</t>
    <phoneticPr fontId="3" type="noConversion"/>
  </si>
  <si>
    <t>2007.01.10</t>
    <phoneticPr fontId="3" type="noConversion"/>
  </si>
  <si>
    <t>2007.01.10~2024.10.31</t>
    <phoneticPr fontId="3" type="noConversion"/>
  </si>
  <si>
    <t>본사의 일방적인 해지 통보 / 2007년 원장 확인 불가하여 일할계산 미처리(이정현)</t>
    <phoneticPr fontId="3" type="noConversion"/>
  </si>
  <si>
    <t>이정현</t>
    <phoneticPr fontId="3" type="noConversion"/>
  </si>
  <si>
    <t>2024.10</t>
    <phoneticPr fontId="3" type="noConversion"/>
  </si>
  <si>
    <t>라자드코리아리미티드</t>
    <phoneticPr fontId="3" type="noConversion"/>
  </si>
  <si>
    <t>2024.11.04</t>
    <phoneticPr fontId="3" type="noConversion"/>
  </si>
  <si>
    <t>2024.11.04~2025.11.03</t>
    <phoneticPr fontId="3" type="noConversion"/>
  </si>
  <si>
    <t>샤학관 해운대점(코치마이웨이)</t>
    <phoneticPr fontId="3" type="noConversion"/>
  </si>
  <si>
    <t>원이앤에스</t>
    <phoneticPr fontId="3" type="noConversion"/>
  </si>
  <si>
    <t>2024.12.01</t>
    <phoneticPr fontId="3" type="noConversion"/>
  </si>
  <si>
    <t>2024.12.01~2025.11.30</t>
    <phoneticPr fontId="3" type="noConversion"/>
  </si>
  <si>
    <t>2025.01.01~2025.12.31</t>
    <phoneticPr fontId="3" type="noConversion"/>
  </si>
  <si>
    <t>2025.01.01</t>
    <phoneticPr fontId="3" type="noConversion"/>
  </si>
  <si>
    <t>엘엔케이로직코리아</t>
    <phoneticPr fontId="3" type="noConversion"/>
  </si>
  <si>
    <t>디스틸러데어</t>
    <phoneticPr fontId="3" type="noConversion"/>
  </si>
  <si>
    <t>샤학관 사직점(코치마이웨이)</t>
    <phoneticPr fontId="3" type="noConversion"/>
  </si>
  <si>
    <t>12월</t>
    <phoneticPr fontId="3" type="noConversion"/>
  </si>
  <si>
    <t>2024.12.18</t>
    <phoneticPr fontId="3" type="noConversion"/>
  </si>
  <si>
    <t>2024.12.18~2025.12.17</t>
    <phoneticPr fontId="3" type="noConversion"/>
  </si>
  <si>
    <t>12월</t>
    <phoneticPr fontId="3" type="noConversion"/>
  </si>
  <si>
    <t>2023.10.01~2024.12.31</t>
    <phoneticPr fontId="3" type="noConversion"/>
  </si>
  <si>
    <t>홍대점 사업철수로 계약해지요청</t>
    <phoneticPr fontId="3" type="noConversion"/>
  </si>
  <si>
    <t>유지보수: 렌탈과 발행(230만원, 위하고 복붙) / 상품매출: 비고 '매출처'기재, 첨부발행</t>
    <phoneticPr fontId="3" type="noConversion"/>
  </si>
  <si>
    <t>2025.02.01</t>
    <phoneticPr fontId="3" type="noConversion"/>
  </si>
  <si>
    <t>싱클레어 유한회사</t>
    <phoneticPr fontId="3" type="noConversion"/>
  </si>
  <si>
    <t>2025.02.03</t>
    <phoneticPr fontId="3" type="noConversion"/>
  </si>
  <si>
    <t>유지보수: 비고에 "PO 4507160179"  기재 발행</t>
    <phoneticPr fontId="3" type="noConversion"/>
  </si>
  <si>
    <t>2025.02.01~2025.12.31</t>
    <phoneticPr fontId="3" type="noConversion"/>
  </si>
  <si>
    <t>2024.06.24~2024.12.31</t>
  </si>
  <si>
    <t>2017.01.01~2024.12.31</t>
  </si>
  <si>
    <t>반포종합사회복지관</t>
  </si>
  <si>
    <t>노인주간보호센터은빛마을</t>
  </si>
  <si>
    <t>사랑의어린이집</t>
  </si>
  <si>
    <t>서초열린세상</t>
  </si>
  <si>
    <t>공차코리아</t>
  </si>
  <si>
    <t>2008.06.02</t>
  </si>
  <si>
    <t>2024.06.24</t>
  </si>
  <si>
    <t>계열사 계약종료</t>
    <phoneticPr fontId="3" type="noConversion"/>
  </si>
  <si>
    <t>계약 종료</t>
    <phoneticPr fontId="3" type="noConversion"/>
  </si>
  <si>
    <t>비고 '발주번호' 기재, 거래명세서도 발행,  무조건 dylan.kim@pmeasuring.com</t>
    <phoneticPr fontId="3" type="noConversion"/>
  </si>
  <si>
    <t>12월</t>
    <phoneticPr fontId="3" type="noConversion"/>
  </si>
  <si>
    <t>2012.01.30</t>
  </si>
  <si>
    <t>2013.03.26~2024.12.30</t>
    <phoneticPr fontId="3" type="noConversion"/>
  </si>
  <si>
    <t>1. kt 통신요금 : sanghyun.jun@zegna.com
2. 상품매출 : miwa.mizuno@zegna.com, 참조_Heekyung.Kyung@zegna.com 발행 - 피디에프저장 - miwa.mizuno@zegna.com 메일보내기</t>
    <phoneticPr fontId="3" type="noConversion"/>
  </si>
  <si>
    <t>제냐코리아</t>
    <phoneticPr fontId="3" type="noConversion"/>
  </si>
  <si>
    <t>2024.04.04~2025.03.03</t>
    <phoneticPr fontId="3" type="noConversion"/>
  </si>
  <si>
    <t>해외 지사에서 관리하기로함</t>
    <phoneticPr fontId="3" type="noConversion"/>
  </si>
  <si>
    <t>2020.08.18</t>
    <phoneticPr fontId="3" type="noConversion"/>
  </si>
  <si>
    <t>2020.08.18~2025.02.17</t>
    <phoneticPr fontId="3" type="noConversion"/>
  </si>
  <si>
    <t>병원 운영 종료</t>
    <phoneticPr fontId="3" type="noConversion"/>
  </si>
  <si>
    <t>경기도농수산진흥원</t>
    <phoneticPr fontId="3" type="noConversion"/>
  </si>
  <si>
    <t>2025.04.01</t>
    <phoneticPr fontId="3" type="noConversion"/>
  </si>
  <si>
    <t>2025.04.01~2025.12.31</t>
    <phoneticPr fontId="3" type="noConversion"/>
  </si>
  <si>
    <t>업체변경</t>
    <phoneticPr fontId="3" type="noConversion"/>
  </si>
  <si>
    <t>2025.04.01~2026.03.31</t>
    <phoneticPr fontId="3" type="noConversion"/>
  </si>
  <si>
    <t>금성출판사</t>
    <phoneticPr fontId="3" type="noConversion"/>
  </si>
  <si>
    <t>2025.06.01</t>
    <phoneticPr fontId="3" type="noConversion"/>
  </si>
  <si>
    <t>2025.06.01~2026.05.31</t>
    <phoneticPr fontId="3" type="noConversion"/>
  </si>
  <si>
    <t>첨부발행 / 유지보수:매년 3월마다 매입금액 조금 변동</t>
    <phoneticPr fontId="3" type="noConversion"/>
  </si>
  <si>
    <t>2025.03.20~2026.03.19</t>
    <phoneticPr fontId="3" type="noConversion"/>
  </si>
  <si>
    <t>창고</t>
    <phoneticPr fontId="3" type="noConversion"/>
  </si>
  <si>
    <t>105</t>
  </si>
  <si>
    <t>106</t>
  </si>
  <si>
    <t>117</t>
  </si>
  <si>
    <t>102</t>
  </si>
  <si>
    <t>2024.05.01~2026.04.30</t>
    <phoneticPr fontId="3" type="noConversion"/>
  </si>
  <si>
    <t>4월</t>
    <phoneticPr fontId="3" type="noConversion"/>
  </si>
  <si>
    <t>12월</t>
    <phoneticPr fontId="3" type="noConversion"/>
  </si>
  <si>
    <t>첨부발행 / 상품매출 발행시 메일 확인하기</t>
    <phoneticPr fontId="3" type="noConversion"/>
  </si>
  <si>
    <t>한국보건복지인재원(노인과)</t>
    <phoneticPr fontId="3" type="noConversion"/>
  </si>
  <si>
    <t>2025.05.01</t>
    <phoneticPr fontId="3" type="noConversion"/>
  </si>
  <si>
    <t>한국보건복지인재원(아동과)</t>
    <phoneticPr fontId="3" type="noConversion"/>
  </si>
  <si>
    <t>2025.06.01</t>
    <phoneticPr fontId="3" type="noConversion"/>
  </si>
  <si>
    <t>2025.06.01~2025.12.31</t>
    <phoneticPr fontId="3" type="noConversion"/>
  </si>
  <si>
    <t>12월</t>
    <phoneticPr fontId="3" type="noConversion"/>
  </si>
  <si>
    <t>25일</t>
    <phoneticPr fontId="3" type="noConversion"/>
  </si>
  <si>
    <t>2021.10.01</t>
  </si>
  <si>
    <t>2021.10.01~2022.09.30</t>
  </si>
  <si>
    <t>본사정책에 따라 해지</t>
    <phoneticPr fontId="3" type="noConversion"/>
  </si>
  <si>
    <t>2025.05.23~2026.05.22</t>
    <phoneticPr fontId="3" type="noConversion"/>
  </si>
  <si>
    <t>임현섭</t>
    <phoneticPr fontId="3" type="noConversion"/>
  </si>
  <si>
    <t>기술1팀</t>
    <phoneticPr fontId="3" type="noConversion"/>
  </si>
  <si>
    <t xml:space="preserve"> </t>
    <phoneticPr fontId="3" type="noConversion"/>
  </si>
  <si>
    <t>아이엠씨디</t>
    <phoneticPr fontId="3" type="noConversion"/>
  </si>
  <si>
    <t>2023.07.01</t>
  </si>
  <si>
    <t>2023.07.01~2024.06.30</t>
  </si>
  <si>
    <t>싱가포르 본사에서 변경 요청</t>
    <phoneticPr fontId="3" type="noConversion"/>
  </si>
  <si>
    <t>이정현</t>
    <phoneticPr fontId="3" type="noConversion"/>
  </si>
  <si>
    <t>메디젠휴먼케어</t>
    <phoneticPr fontId="3" type="noConversion"/>
  </si>
  <si>
    <t>2025.07.07</t>
    <phoneticPr fontId="3" type="noConversion"/>
  </si>
  <si>
    <t>2025.07.07~2026.06.30</t>
    <phoneticPr fontId="3" type="noConversion"/>
  </si>
  <si>
    <t>기술2팀</t>
    <phoneticPr fontId="3" type="noConversion"/>
  </si>
  <si>
    <t>휴스틸</t>
    <phoneticPr fontId="3" type="noConversion"/>
  </si>
  <si>
    <t>2025.07.01</t>
    <phoneticPr fontId="3" type="noConversion"/>
  </si>
  <si>
    <t>2025.07.01~2026.06.30</t>
    <phoneticPr fontId="3" type="noConversion"/>
  </si>
  <si>
    <t>유지보수 : 발행후 거래명세서 1장, 유지보수대장(기술팀20일쯤 받음), 행정서류(국세완납증명서,지방세완납증명서,4대보험완납증명서) 3장, 세금계산서 1장 -&gt; 6장 PDF 저장후 장재은(jechang@kohi.or.kr) 메일 전달 / 25일 휴일일경우 전일 발행하기*</t>
    <phoneticPr fontId="3" type="noConversion"/>
  </si>
  <si>
    <t>오상력</t>
    <phoneticPr fontId="3" type="noConversion"/>
  </si>
  <si>
    <t>아이원인터내셔날</t>
    <phoneticPr fontId="3" type="noConversion"/>
  </si>
  <si>
    <t>2025.05.01~2026.04.30</t>
    <phoneticPr fontId="3" type="noConversion"/>
  </si>
  <si>
    <t>2025.08.05~2026.08.04</t>
    <phoneticPr fontId="3" type="noConversion"/>
  </si>
  <si>
    <t>2025.07.30~2026.07.29</t>
    <phoneticPr fontId="3" type="noConversion"/>
  </si>
  <si>
    <t>한국공간데이터</t>
    <phoneticPr fontId="3" type="noConversion"/>
  </si>
  <si>
    <t>2025.08.19~2025.12.31</t>
    <phoneticPr fontId="3" type="noConversion"/>
  </si>
  <si>
    <t>페리코리아</t>
    <phoneticPr fontId="3" type="noConversion"/>
  </si>
  <si>
    <t>2025.09.01</t>
    <phoneticPr fontId="3" type="noConversion"/>
  </si>
  <si>
    <t>2025.09.01~2026.08.31</t>
    <phoneticPr fontId="3" type="noConversion"/>
  </si>
  <si>
    <t>8월</t>
    <phoneticPr fontId="3" type="noConversion"/>
  </si>
  <si>
    <t>하이네켄</t>
  </si>
  <si>
    <t>2022.02.21</t>
  </si>
  <si>
    <t>2023.12.01~2025.08.31</t>
    <phoneticPr fontId="3" type="noConversion"/>
  </si>
  <si>
    <t>내부 비용 절감</t>
    <phoneticPr fontId="3" type="noConversion"/>
  </si>
  <si>
    <t>2025.09.01</t>
    <phoneticPr fontId="3" type="noConversion"/>
  </si>
  <si>
    <t>2025.09.01~2026.08.31</t>
    <phoneticPr fontId="3" type="noConversion"/>
  </si>
  <si>
    <t>8월</t>
    <phoneticPr fontId="3" type="noConversion"/>
  </si>
  <si>
    <t>한길더블류아이티(한일건설)</t>
    <phoneticPr fontId="3" type="noConversion"/>
  </si>
  <si>
    <t>2025.08.01</t>
    <phoneticPr fontId="3" type="noConversion"/>
  </si>
  <si>
    <t>2025.08.01~2026.07.31</t>
    <phoneticPr fontId="3" type="noConversion"/>
  </si>
  <si>
    <t>7월</t>
    <phoneticPr fontId="3" type="noConversion"/>
  </si>
  <si>
    <t>에이치에스엠씨</t>
    <phoneticPr fontId="3" type="noConversion"/>
  </si>
  <si>
    <t>실사비용(구매양식)과 발행시 품목 하나로! (유지보수에 실사비용 포함하여)</t>
    <phoneticPr fontId="3" type="noConversion"/>
  </si>
  <si>
    <t>유지보수 : 발행후 거래명세서 1장, 유지보수대장(기술팀20일쯤 받음), 행정서류(국세완납증명서,지방세완납증명서,4대보험완납증명서) 3장, 세금계산서 1장 -&gt; 6장 PDF 저장후 (jina@kohi.or.kr) 메일 전달 / 25일 휴일일경우 전일 발행하기*</t>
    <phoneticPr fontId="3" type="noConversion"/>
  </si>
  <si>
    <t>2024.07.01~2025.07.31</t>
    <phoneticPr fontId="3" type="noConversion"/>
  </si>
  <si>
    <t>서버클라우드 환경 전환</t>
    <phoneticPr fontId="3" type="noConversion"/>
  </si>
  <si>
    <t>까리따스수녀회생활성서사</t>
    <phoneticPr fontId="3" type="noConversion"/>
  </si>
  <si>
    <t>2025.09.18</t>
    <phoneticPr fontId="3" type="noConversion"/>
  </si>
  <si>
    <t>2025.09.18~2026.09.17</t>
    <phoneticPr fontId="3" type="noConversion"/>
  </si>
  <si>
    <t>4분기 유지보수(정보통신시스템)</t>
    <phoneticPr fontId="3" type="noConversion"/>
  </si>
  <si>
    <t>유지보수: KRSITSTeam@effem.com -최성필, 첨부발행 / 그외: 메일확인필요!! 휴대폰렌탈-마리킴, 김제-오정섭, 서울-팀(최성필)</t>
    <phoneticPr fontId="3" type="noConversion"/>
  </si>
  <si>
    <t>철도교통관제센터 LTE-R 유지보수 사업11차 기성</t>
    <phoneticPr fontId="3" type="noConversion"/>
  </si>
  <si>
    <t>10차 발행완료</t>
    <phoneticPr fontId="3" type="noConversion"/>
  </si>
  <si>
    <t>2024.08.01~2025.12.31</t>
    <phoneticPr fontId="3" type="noConversion"/>
  </si>
  <si>
    <t>2025.12.01~2025.11.30</t>
    <phoneticPr fontId="3" type="noConversion"/>
  </si>
  <si>
    <t>11월</t>
    <phoneticPr fontId="3" type="noConversion"/>
  </si>
  <si>
    <t>상품- '매출처' 있다면 비고 기재, 거래명세서 발행(대부분 임미성)_발송정보 설정의 기본으로 변경해서 메일 보내기!!</t>
    <phoneticPr fontId="3" type="noConversion"/>
  </si>
  <si>
    <t>유지보수: 발행 후 '4대보험완납증명서,국세증명서,지방세증명서' 3장 메일로(이훈창/zaxajakala@gafi.or.kr)전송</t>
    <phoneticPr fontId="3" type="noConversion"/>
  </si>
  <si>
    <t>2025.12.01~2026.11.30</t>
    <phoneticPr fontId="3" type="noConversion"/>
  </si>
  <si>
    <t>2025.08.01~2025.11.30</t>
  </si>
  <si>
    <t>2025.08.01</t>
  </si>
  <si>
    <t>인터넷회선 변경 이후 장애 발생하지않아, 방화벽 관리 필요성 없어졌다고 함</t>
    <phoneticPr fontId="3" type="noConversion"/>
  </si>
  <si>
    <t>2025년 12월 유지보수 청구 자료</t>
    <phoneticPr fontId="3" type="noConversion"/>
  </si>
  <si>
    <t>12월 유지보수(정보통신시스템)</t>
  </si>
  <si>
    <t>12월 전화기 유지보수비</t>
  </si>
  <si>
    <t>2025년 kt is 정보시스템 통합유지보수_하드웨어 분야(12월 수행분)</t>
  </si>
  <si>
    <t>통합유지보수_12월분</t>
  </si>
  <si>
    <t>KG이니시스 델 스위치 유지보수(12월 수행분)</t>
  </si>
  <si>
    <t>12월 유지보수(정보통신시스템) - 방화벽</t>
  </si>
  <si>
    <t>11월 서버 및 네트워크 장비 유지보수 용역 수행분</t>
    <phoneticPr fontId="3" type="noConversion"/>
  </si>
  <si>
    <t>12월 유지보수(정보통신시스템)</t>
    <phoneticPr fontId="3" type="noConversion"/>
  </si>
  <si>
    <t>12월 유지보수(정보통신시스템)</t>
    <phoneticPr fontId="3" type="noConversion"/>
  </si>
  <si>
    <t>건물매각으로 해지요청</t>
    <phoneticPr fontId="3" type="noConversion"/>
  </si>
  <si>
    <t>유지보수 : 첨부발행</t>
    <phoneticPr fontId="3" type="noConversion"/>
  </si>
  <si>
    <t>2025.12.01</t>
    <phoneticPr fontId="3" type="noConversion"/>
  </si>
  <si>
    <t>2025.12.01~2026.05.31</t>
    <phoneticPr fontId="3" type="noConversion"/>
  </si>
  <si>
    <t>연 2회(12월,6월)</t>
    <phoneticPr fontId="3" type="noConversion"/>
  </si>
  <si>
    <t>12월 유지보수(정보통신시스템)</t>
    <phoneticPr fontId="3" type="noConversion"/>
  </si>
  <si>
    <t>이지메디컴</t>
    <phoneticPr fontId="3" type="noConversion"/>
  </si>
  <si>
    <t>역발행</t>
    <phoneticPr fontId="3" type="noConversion"/>
  </si>
  <si>
    <t>12/16 시스원
12/20 4건</t>
    <phoneticPr fontId="3" type="noConversion"/>
  </si>
  <si>
    <t>한길더블류아이티</t>
    <phoneticPr fontId="3" type="noConversion"/>
  </si>
  <si>
    <t>2025.01.16</t>
    <phoneticPr fontId="3" type="noConversion"/>
  </si>
  <si>
    <t>2025.01.16~2025.11.30</t>
    <phoneticPr fontId="3" type="noConversion"/>
  </si>
  <si>
    <t>아덴텍코리아 폐업으로 인해 유지보수 계약 해지</t>
    <phoneticPr fontId="3" type="noConversion"/>
  </si>
  <si>
    <t>12월 유지보수(정보통신시스템)</t>
    <phoneticPr fontId="3" type="noConversion"/>
  </si>
  <si>
    <t>26.01 발행 X, 2월부터 재발행? 이정현 확인하기</t>
    <phoneticPr fontId="3" type="noConversion"/>
  </si>
  <si>
    <t>1월부터해지</t>
    <phoneticPr fontId="3" type="noConversion"/>
  </si>
  <si>
    <t>롯데이노베이트/전)케이지아이씨티</t>
    <phoneticPr fontId="3" type="noConversion"/>
  </si>
  <si>
    <t>기존 영업담당자 변경(오상력이사 퇴사)으로 인한 고객사지정 수행사로 변경</t>
    <phoneticPr fontId="3" type="noConversion"/>
  </si>
  <si>
    <t>손동환</t>
    <phoneticPr fontId="3" type="noConversion"/>
  </si>
  <si>
    <t>1월부터해지</t>
    <phoneticPr fontId="3" type="noConversion"/>
  </si>
  <si>
    <t>고객사 영업담당자 변경으로 인한 하도급 수행업체 변경</t>
    <phoneticPr fontId="3" type="noConversion"/>
  </si>
  <si>
    <t>고객사 영업담당자 변경으로 인한 하도급 수행업체 변경</t>
  </si>
  <si>
    <t>1월미발행, 2월부터 발행</t>
    <phoneticPr fontId="3" type="noConversion"/>
  </si>
  <si>
    <t>12~5월 유지보수(정보통신시스템)</t>
    <phoneticPr fontId="3" type="noConversion"/>
  </si>
  <si>
    <t>26년 발행? 손동환 확인하기</t>
    <phoneticPr fontId="3" type="noConversion"/>
  </si>
  <si>
    <t>유지보수 : 장준성(js.chang@kt.com)   으로 표기 및 발행        26년 발행? 손동환 확인하기</t>
    <phoneticPr fontId="3" type="noConversion"/>
  </si>
  <si>
    <t>12/1 시스원
12/10 오픈베이스
12/15 에이텍
12/24 모음
12/25 효성,윈씨엔에스
12/31 제이넷</t>
    <phoneticPr fontId="3" type="noConversion"/>
  </si>
  <si>
    <t>12/19 서우
12.24 라이버스
12/23 윈설트
12/26 솔루텍
12/25 인성정보,로이트,씨큐원12/31 커넥스,제이넷,인스피언,한싹,리드피플
12/31 아이티센씨티에스(콤텍)</t>
    <phoneticPr fontId="3" type="noConversion"/>
  </si>
  <si>
    <t>월 계약금액
(계약기준)</t>
    <phoneticPr fontId="3" type="noConversion"/>
  </si>
  <si>
    <t>월 외주금액
(계약기준)</t>
    <phoneticPr fontId="3" type="noConversion"/>
  </si>
  <si>
    <t>월 이익금액
(계약기준)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</si>
</sst>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0&quot;월&quot;"/>
    <numFmt numFmtId="177" formatCode="mm&quot;월&quot;\ dd&quot;일&quot;"/>
    <numFmt numFmtId="178" formatCode="00&quot;월&quot;\ "/>
    <numFmt numFmtId="179" formatCode="&quot;₩&quot;#,##0_);[Red]\(&quot;₩&quot;#,##0\)"/>
    <numFmt numFmtId="180" formatCode="&quot;₩&quot;#,##0;&quot;₩&quot;&quot;₩&quot;&quot;₩&quot;\-#,##0"/>
    <numFmt numFmtId="181" formatCode="_-* #,##0_-;\-* #,##0_-;_-* &quot;-&quot;?_-;_-@_-"/>
    <numFmt numFmtId="182" formatCode="_ * #,##0_ ;_ * \-#,##0_ ;_ * &quot;-&quot;_ ;_ @_ "/>
    <numFmt numFmtId="183" formatCode="####.##"/>
  </numFmts>
  <fonts count="7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i/>
      <sz val="11"/>
      <color theme="1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i/>
      <sz val="11"/>
      <color rgb="FF00206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8"/>
      <name val="Times New Roman"/>
      <family val="1"/>
    </font>
    <font>
      <sz val="10"/>
      <name val="돋움"/>
      <family val="3"/>
      <charset val="129"/>
    </font>
    <font>
      <sz val="9"/>
      <name val="Arial"/>
      <family val="2"/>
    </font>
    <font>
      <sz val="11"/>
      <color indexed="8"/>
      <name val="Malgun Gothic"/>
      <family val="3"/>
      <charset val="129"/>
    </font>
    <font>
      <sz val="10"/>
      <name val="명조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53"/>
      <name val="맑은 고딕"/>
      <family val="3"/>
      <charset val="129"/>
    </font>
    <font>
      <sz val="11"/>
      <color indexed="16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11"/>
      <color indexed="5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33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24" fillId="0" borderId="0"/>
    <xf numFmtId="0" fontId="25" fillId="0" borderId="0"/>
    <xf numFmtId="0" fontId="10" fillId="0" borderId="0" applyFill="0" applyBorder="0" applyAlignment="0"/>
    <xf numFmtId="0" fontId="26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38" fontId="27" fillId="9" borderId="0" applyNumberFormat="0" applyBorder="0" applyAlignment="0" applyProtection="0"/>
    <xf numFmtId="0" fontId="28" fillId="0" borderId="0">
      <alignment horizontal="left"/>
    </xf>
    <xf numFmtId="0" fontId="29" fillId="0" borderId="17" applyNumberFormat="0" applyAlignment="0" applyProtection="0">
      <alignment horizontal="left" vertical="center"/>
    </xf>
    <xf numFmtId="0" fontId="29" fillId="0" borderId="29">
      <alignment horizontal="left" vertical="center"/>
    </xf>
    <xf numFmtId="10" fontId="27" fillId="9" borderId="23" applyNumberFormat="0" applyBorder="0" applyAlignment="0" applyProtection="0"/>
    <xf numFmtId="0" fontId="30" fillId="0" borderId="1"/>
    <xf numFmtId="180" fontId="31" fillId="0" borderId="0"/>
    <xf numFmtId="0" fontId="32" fillId="0" borderId="0"/>
    <xf numFmtId="10" fontId="25" fillId="0" borderId="0" applyFont="0" applyFill="0" applyBorder="0" applyAlignment="0" applyProtection="0"/>
    <xf numFmtId="0" fontId="30" fillId="0" borderId="0"/>
    <xf numFmtId="9" fontId="10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24" fillId="0" borderId="0"/>
    <xf numFmtId="0" fontId="36" fillId="0" borderId="30"/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3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1" fillId="35" borderId="33" applyNumberFormat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10" fillId="4" borderId="34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8" borderId="35" applyNumberFormat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64" fillId="0" borderId="36" applyNumberFormat="0" applyFill="0" applyAlignment="0" applyProtection="0">
      <alignment vertical="center"/>
    </xf>
    <xf numFmtId="0" fontId="53" fillId="0" borderId="37" applyNumberFormat="0" applyFill="0" applyAlignment="0" applyProtection="0">
      <alignment vertical="center"/>
    </xf>
    <xf numFmtId="0" fontId="54" fillId="10" borderId="33" applyNumberFormat="0" applyAlignment="0" applyProtection="0">
      <alignment vertical="center"/>
    </xf>
    <xf numFmtId="0" fontId="56" fillId="0" borderId="38" applyNumberFormat="0" applyFill="0" applyAlignment="0" applyProtection="0">
      <alignment vertical="center"/>
    </xf>
    <xf numFmtId="0" fontId="57" fillId="0" borderId="39" applyNumberFormat="0" applyFill="0" applyAlignment="0" applyProtection="0">
      <alignment vertical="center"/>
    </xf>
    <xf numFmtId="0" fontId="58" fillId="0" borderId="40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35" borderId="41" applyNumberFormat="0" applyAlignment="0" applyProtection="0">
      <alignment vertical="center"/>
    </xf>
    <xf numFmtId="0" fontId="10" fillId="0" borderId="0">
      <alignment vertical="center"/>
    </xf>
    <xf numFmtId="182" fontId="47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30" fillId="0" borderId="42"/>
    <xf numFmtId="0" fontId="23" fillId="0" borderId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23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6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25" fillId="0" borderId="0"/>
    <xf numFmtId="0" fontId="10" fillId="0" borderId="0">
      <alignment vertical="center"/>
    </xf>
    <xf numFmtId="0" fontId="2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>
      <alignment vertical="center"/>
    </xf>
    <xf numFmtId="0" fontId="25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0" xfId="4" applyFont="1">
      <alignment vertical="center"/>
    </xf>
    <xf numFmtId="0" fontId="5" fillId="0" borderId="0" xfId="0" applyFont="1" applyAlignment="1">
      <alignment horizontal="center" vertical="center"/>
    </xf>
    <xf numFmtId="178" fontId="12" fillId="4" borderId="16" xfId="4" applyNumberFormat="1" applyFont="1" applyFill="1" applyBorder="1" applyAlignment="1">
      <alignment horizontal="center" vertical="center"/>
    </xf>
    <xf numFmtId="178" fontId="12" fillId="4" borderId="20" xfId="4" applyNumberFormat="1" applyFont="1" applyFill="1" applyBorder="1" applyAlignment="1">
      <alignment horizontal="center" vertical="center"/>
    </xf>
    <xf numFmtId="0" fontId="14" fillId="0" borderId="21" xfId="4" applyFont="1" applyBorder="1">
      <alignment vertical="center"/>
    </xf>
    <xf numFmtId="0" fontId="14" fillId="0" borderId="10" xfId="4" applyFont="1" applyBorder="1">
      <alignment vertical="center"/>
    </xf>
    <xf numFmtId="0" fontId="14" fillId="0" borderId="9" xfId="4" applyFont="1" applyBorder="1">
      <alignment vertical="center"/>
    </xf>
    <xf numFmtId="0" fontId="14" fillId="0" borderId="22" xfId="4" applyFont="1" applyBorder="1">
      <alignment vertical="center"/>
    </xf>
    <xf numFmtId="0" fontId="14" fillId="0" borderId="0" xfId="4" applyFont="1">
      <alignment vertical="center"/>
    </xf>
    <xf numFmtId="0" fontId="14" fillId="0" borderId="11" xfId="4" applyFont="1" applyBorder="1">
      <alignment vertical="center"/>
    </xf>
    <xf numFmtId="0" fontId="14" fillId="0" borderId="19" xfId="4" applyFont="1" applyBorder="1">
      <alignment vertical="center"/>
    </xf>
    <xf numFmtId="0" fontId="14" fillId="0" borderId="14" xfId="4" applyFont="1" applyBorder="1">
      <alignment vertical="center"/>
    </xf>
    <xf numFmtId="0" fontId="14" fillId="0" borderId="15" xfId="4" applyFont="1" applyBorder="1">
      <alignment vertical="center"/>
    </xf>
    <xf numFmtId="0" fontId="6" fillId="0" borderId="14" xfId="4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41" fontId="8" fillId="0" borderId="27" xfId="1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6" borderId="0" xfId="0" applyFont="1" applyFill="1">
      <alignment vertical="center"/>
    </xf>
    <xf numFmtId="0" fontId="21" fillId="6" borderId="0" xfId="0" applyFont="1" applyFill="1">
      <alignment vertical="center"/>
    </xf>
    <xf numFmtId="179" fontId="20" fillId="6" borderId="0" xfId="1" applyNumberFormat="1" applyFont="1" applyFill="1">
      <alignment vertical="center"/>
    </xf>
    <xf numFmtId="0" fontId="20" fillId="7" borderId="0" xfId="0" applyFont="1" applyFill="1">
      <alignment vertical="center"/>
    </xf>
    <xf numFmtId="0" fontId="21" fillId="7" borderId="0" xfId="0" applyFont="1" applyFill="1">
      <alignment vertical="center"/>
    </xf>
    <xf numFmtId="179" fontId="20" fillId="7" borderId="0" xfId="1" applyNumberFormat="1" applyFont="1" applyFill="1">
      <alignment vertical="center"/>
    </xf>
    <xf numFmtId="0" fontId="15" fillId="0" borderId="0" xfId="0" applyFont="1">
      <alignment vertical="center"/>
    </xf>
    <xf numFmtId="0" fontId="15" fillId="0" borderId="28" xfId="0" applyFont="1" applyBorder="1">
      <alignment vertical="center"/>
    </xf>
    <xf numFmtId="41" fontId="11" fillId="0" borderId="0" xfId="1" applyFont="1">
      <alignment vertical="center"/>
    </xf>
    <xf numFmtId="0" fontId="8" fillId="0" borderId="6" xfId="0" applyFont="1" applyBorder="1" applyAlignment="1">
      <alignment horizontal="left" vertical="center" indent="1"/>
    </xf>
    <xf numFmtId="41" fontId="22" fillId="0" borderId="28" xfId="1" applyFont="1" applyBorder="1">
      <alignment vertical="center"/>
    </xf>
    <xf numFmtId="41" fontId="15" fillId="0" borderId="0" xfId="1" applyFont="1">
      <alignment vertical="center"/>
    </xf>
    <xf numFmtId="41" fontId="22" fillId="0" borderId="0" xfId="1" applyFont="1">
      <alignment vertical="center"/>
    </xf>
    <xf numFmtId="0" fontId="23" fillId="0" borderId="0" xfId="0" applyFont="1">
      <alignment vertical="center"/>
    </xf>
    <xf numFmtId="0" fontId="40" fillId="0" borderId="0" xfId="0" applyFont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176" fontId="41" fillId="0" borderId="3" xfId="0" applyNumberFormat="1" applyFont="1" applyBorder="1" applyAlignment="1">
      <alignment horizontal="center" vertical="center"/>
    </xf>
    <xf numFmtId="41" fontId="42" fillId="0" borderId="3" xfId="1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176" fontId="43" fillId="0" borderId="6" xfId="0" applyNumberFormat="1" applyFont="1" applyBorder="1" applyAlignment="1">
      <alignment horizontal="center" vertical="center"/>
    </xf>
    <xf numFmtId="41" fontId="44" fillId="0" borderId="6" xfId="1" applyFont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41" fontId="43" fillId="0" borderId="27" xfId="1" applyFont="1" applyBorder="1" applyAlignment="1">
      <alignment horizontal="center" vertical="center"/>
    </xf>
    <xf numFmtId="41" fontId="44" fillId="0" borderId="12" xfId="1" applyFont="1" applyBorder="1">
      <alignment vertical="center"/>
    </xf>
    <xf numFmtId="0" fontId="43" fillId="0" borderId="0" xfId="0" applyFont="1" applyAlignment="1">
      <alignment horizontal="justify" vertical="center"/>
    </xf>
    <xf numFmtId="0" fontId="41" fillId="0" borderId="0" xfId="0" applyFont="1" applyAlignment="1">
      <alignment horizontal="center" vertical="center"/>
    </xf>
    <xf numFmtId="41" fontId="44" fillId="0" borderId="12" xfId="1" applyFont="1" applyBorder="1" applyAlignment="1">
      <alignment horizontal="center" vertical="center"/>
    </xf>
    <xf numFmtId="41" fontId="44" fillId="0" borderId="11" xfId="1" applyFont="1" applyBorder="1" applyAlignment="1">
      <alignment horizontal="center" vertical="center"/>
    </xf>
    <xf numFmtId="41" fontId="40" fillId="0" borderId="0" xfId="1" applyFont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41" fontId="41" fillId="0" borderId="3" xfId="1" applyFont="1" applyBorder="1" applyAlignment="1">
      <alignment horizontal="center" vertical="center"/>
    </xf>
    <xf numFmtId="41" fontId="40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1" fontId="44" fillId="0" borderId="6" xfId="1" applyFont="1" applyBorder="1">
      <alignment vertical="center"/>
    </xf>
    <xf numFmtId="0" fontId="9" fillId="0" borderId="6" xfId="0" applyFont="1" applyBorder="1" applyAlignment="1">
      <alignment horizontal="left" vertical="center" indent="1"/>
    </xf>
    <xf numFmtId="41" fontId="7" fillId="0" borderId="6" xfId="1" applyFont="1" applyBorder="1">
      <alignment vertical="center"/>
    </xf>
    <xf numFmtId="14" fontId="8" fillId="0" borderId="6" xfId="0" applyNumberFormat="1" applyFont="1" applyBorder="1" applyAlignment="1">
      <alignment horizontal="center" vertical="center"/>
    </xf>
    <xf numFmtId="0" fontId="23" fillId="5" borderId="23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14" fillId="0" borderId="43" xfId="1" applyNumberFormat="1" applyFont="1" applyBorder="1" applyAlignment="1">
      <alignment horizontal="center" vertical="center" wrapText="1"/>
    </xf>
    <xf numFmtId="14" fontId="40" fillId="0" borderId="0" xfId="1" applyNumberFormat="1" applyFont="1" applyAlignment="1">
      <alignment horizontal="center" vertical="center"/>
    </xf>
    <xf numFmtId="0" fontId="43" fillId="0" borderId="6" xfId="0" applyFont="1" applyBorder="1" applyAlignment="1">
      <alignment horizontal="left" vertical="center" indent="1"/>
    </xf>
    <xf numFmtId="41" fontId="43" fillId="0" borderId="6" xfId="1" applyFont="1" applyFill="1" applyBorder="1" applyAlignment="1">
      <alignment horizontal="center" vertical="center"/>
    </xf>
    <xf numFmtId="41" fontId="44" fillId="0" borderId="12" xfId="1" applyFont="1" applyFill="1" applyBorder="1">
      <alignment vertical="center"/>
    </xf>
    <xf numFmtId="14" fontId="44" fillId="0" borderId="12" xfId="1" applyNumberFormat="1" applyFont="1" applyFill="1" applyBorder="1" applyAlignment="1">
      <alignment horizontal="center" vertical="center"/>
    </xf>
    <xf numFmtId="41" fontId="8" fillId="0" borderId="6" xfId="1" applyFont="1" applyFill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43" fillId="0" borderId="27" xfId="1" applyFont="1" applyFill="1" applyBorder="1" applyAlignment="1">
      <alignment horizontal="center" vertical="center"/>
    </xf>
    <xf numFmtId="14" fontId="7" fillId="0" borderId="12" xfId="1" applyNumberFormat="1" applyFont="1" applyFill="1" applyBorder="1" applyAlignment="1">
      <alignment horizontal="center" vertical="center" wrapText="1"/>
    </xf>
    <xf numFmtId="41" fontId="8" fillId="0" borderId="23" xfId="1" applyFont="1" applyFill="1" applyBorder="1">
      <alignment vertical="center"/>
    </xf>
    <xf numFmtId="41" fontId="66" fillId="0" borderId="23" xfId="1" applyFont="1" applyFill="1" applyBorder="1">
      <alignment vertical="center"/>
    </xf>
    <xf numFmtId="41" fontId="8" fillId="0" borderId="23" xfId="1" applyFont="1" applyFill="1" applyBorder="1" applyAlignment="1">
      <alignment vertical="center" wrapText="1"/>
    </xf>
    <xf numFmtId="14" fontId="66" fillId="0" borderId="23" xfId="0" applyNumberFormat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67" fillId="0" borderId="23" xfId="0" applyFont="1" applyBorder="1" applyAlignment="1">
      <alignment horizontal="left" vertical="center"/>
    </xf>
    <xf numFmtId="9" fontId="9" fillId="0" borderId="23" xfId="337" applyFont="1" applyFill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66" fillId="0" borderId="23" xfId="0" applyFont="1" applyBorder="1">
      <alignment vertical="center"/>
    </xf>
    <xf numFmtId="0" fontId="8" fillId="0" borderId="23" xfId="0" applyFont="1" applyBorder="1" applyAlignment="1">
      <alignment vertical="center" wrapText="1"/>
    </xf>
    <xf numFmtId="0" fontId="67" fillId="0" borderId="23" xfId="0" applyFont="1" applyBorder="1" applyAlignment="1">
      <alignment horizontal="left" vertical="center" wrapText="1"/>
    </xf>
    <xf numFmtId="9" fontId="9" fillId="0" borderId="23" xfId="337" applyFont="1" applyFill="1" applyBorder="1" applyAlignment="1">
      <alignment horizontal="center" vertical="center" wrapText="1"/>
    </xf>
    <xf numFmtId="14" fontId="66" fillId="0" borderId="23" xfId="0" applyNumberFormat="1" applyFont="1" applyBorder="1" applyAlignment="1">
      <alignment horizontal="center" vertical="center" wrapText="1"/>
    </xf>
    <xf numFmtId="0" fontId="67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14" fontId="41" fillId="0" borderId="3" xfId="1" applyNumberFormat="1" applyFont="1" applyBorder="1" applyAlignment="1">
      <alignment horizontal="center" vertical="center"/>
    </xf>
    <xf numFmtId="0" fontId="68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41" fontId="11" fillId="0" borderId="0" xfId="1" applyFont="1" applyBorder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1" fontId="8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8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41" fillId="0" borderId="43" xfId="0" applyFont="1" applyBorder="1" applyAlignment="1">
      <alignment horizontal="center" vertical="center" wrapText="1"/>
    </xf>
    <xf numFmtId="41" fontId="43" fillId="0" borderId="24" xfId="0" applyNumberFormat="1" applyFont="1" applyBorder="1" applyAlignment="1">
      <alignment horizontal="center" vertical="center"/>
    </xf>
    <xf numFmtId="41" fontId="43" fillId="0" borderId="12" xfId="0" applyNumberFormat="1" applyFont="1" applyBorder="1" applyAlignment="1">
      <alignment horizontal="center" vertical="center"/>
    </xf>
    <xf numFmtId="41" fontId="41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1" fontId="8" fillId="3" borderId="6" xfId="1" applyFont="1" applyFill="1" applyBorder="1" applyAlignment="1">
      <alignment horizontal="center" vertical="center"/>
    </xf>
    <xf numFmtId="41" fontId="7" fillId="3" borderId="6" xfId="1" applyFont="1" applyFill="1" applyBorder="1">
      <alignment vertical="center"/>
    </xf>
    <xf numFmtId="14" fontId="8" fillId="3" borderId="6" xfId="0" applyNumberFormat="1" applyFont="1" applyFill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41" fontId="8" fillId="0" borderId="12" xfId="0" applyNumberFormat="1" applyFont="1" applyBorder="1" applyAlignment="1">
      <alignment horizontal="center" vertical="center"/>
    </xf>
    <xf numFmtId="14" fontId="7" fillId="0" borderId="12" xfId="1" applyNumberFormat="1" applyFont="1" applyFill="1" applyBorder="1" applyAlignment="1">
      <alignment horizontal="center" vertical="center"/>
    </xf>
    <xf numFmtId="41" fontId="7" fillId="0" borderId="6" xfId="1" applyFont="1" applyFill="1" applyBorder="1">
      <alignment vertical="center"/>
    </xf>
    <xf numFmtId="14" fontId="44" fillId="0" borderId="24" xfId="1" applyNumberFormat="1" applyFont="1" applyFill="1" applyBorder="1" applyAlignment="1">
      <alignment horizontal="center" vertical="center"/>
    </xf>
    <xf numFmtId="14" fontId="44" fillId="0" borderId="13" xfId="1" applyNumberFormat="1" applyFont="1" applyFill="1" applyBorder="1" applyAlignment="1">
      <alignment horizontal="center" vertical="center"/>
    </xf>
    <xf numFmtId="14" fontId="9" fillId="0" borderId="12" xfId="1" applyNumberFormat="1" applyFont="1" applyFill="1" applyBorder="1" applyAlignment="1">
      <alignment horizontal="center" vertical="center"/>
    </xf>
    <xf numFmtId="41" fontId="9" fillId="0" borderId="12" xfId="0" applyNumberFormat="1" applyFont="1" applyBorder="1" applyAlignment="1">
      <alignment horizontal="center" vertical="center"/>
    </xf>
    <xf numFmtId="0" fontId="8" fillId="40" borderId="6" xfId="0" applyFont="1" applyFill="1" applyBorder="1" applyAlignment="1">
      <alignment horizontal="left" vertical="center" indent="1"/>
    </xf>
    <xf numFmtId="14" fontId="41" fillId="0" borderId="5" xfId="0" applyNumberFormat="1" applyFont="1" applyBorder="1" applyAlignment="1">
      <alignment horizontal="center" vertical="center"/>
    </xf>
    <xf numFmtId="41" fontId="44" fillId="0" borderId="6" xfId="1" applyFont="1" applyFill="1" applyBorder="1">
      <alignment vertical="center"/>
    </xf>
    <xf numFmtId="14" fontId="5" fillId="0" borderId="5" xfId="0" applyNumberFormat="1" applyFont="1" applyBorder="1" applyAlignment="1">
      <alignment horizontal="center" vertical="center"/>
    </xf>
    <xf numFmtId="0" fontId="71" fillId="0" borderId="0" xfId="338" applyBorder="1" applyAlignment="1">
      <alignment horizontal="left" vertical="center"/>
    </xf>
    <xf numFmtId="41" fontId="11" fillId="0" borderId="0" xfId="1" applyFont="1" applyFill="1">
      <alignment vertical="center"/>
    </xf>
    <xf numFmtId="177" fontId="43" fillId="0" borderId="11" xfId="0" applyNumberFormat="1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41" fontId="44" fillId="0" borderId="6" xfId="1" applyFont="1" applyFill="1" applyBorder="1" applyAlignment="1">
      <alignment horizontal="center" vertical="center"/>
    </xf>
    <xf numFmtId="14" fontId="7" fillId="40" borderId="12" xfId="1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indent="1"/>
    </xf>
    <xf numFmtId="0" fontId="5" fillId="0" borderId="4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0" fillId="0" borderId="0" xfId="0" applyAlignment="1">
      <alignment horizontal="left" vertical="center"/>
    </xf>
    <xf numFmtId="183" fontId="0" fillId="0" borderId="0" xfId="0" quotePrefix="1" applyNumberFormat="1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0" borderId="31" xfId="0" applyBorder="1">
      <alignment vertical="center"/>
    </xf>
    <xf numFmtId="41" fontId="0" fillId="0" borderId="31" xfId="1" applyFont="1" applyBorder="1">
      <alignment vertical="center"/>
    </xf>
    <xf numFmtId="0" fontId="0" fillId="2" borderId="31" xfId="0" applyFill="1" applyBorder="1">
      <alignment vertical="center"/>
    </xf>
    <xf numFmtId="0" fontId="0" fillId="0" borderId="31" xfId="0" applyBorder="1" applyAlignment="1">
      <alignment horizontal="left" vertical="center"/>
    </xf>
    <xf numFmtId="41" fontId="0" fillId="0" borderId="0" xfId="1" applyFont="1" applyBorder="1">
      <alignment vertical="center"/>
    </xf>
    <xf numFmtId="41" fontId="0" fillId="0" borderId="0" xfId="1" applyFont="1" applyFill="1" applyBorder="1">
      <alignment vertical="center"/>
    </xf>
    <xf numFmtId="0" fontId="0" fillId="0" borderId="44" xfId="0" applyBorder="1">
      <alignment vertical="center"/>
    </xf>
    <xf numFmtId="41" fontId="0" fillId="0" borderId="44" xfId="1" applyFont="1" applyBorder="1">
      <alignment vertical="center"/>
    </xf>
    <xf numFmtId="0" fontId="0" fillId="0" borderId="44" xfId="0" applyBorder="1" applyAlignment="1">
      <alignment horizontal="left" vertical="center"/>
    </xf>
    <xf numFmtId="0" fontId="0" fillId="0" borderId="45" xfId="0" applyBorder="1">
      <alignment vertical="center"/>
    </xf>
    <xf numFmtId="41" fontId="0" fillId="0" borderId="45" xfId="1" applyFont="1" applyBorder="1">
      <alignment vertical="center"/>
    </xf>
    <xf numFmtId="0" fontId="0" fillId="0" borderId="45" xfId="0" applyBorder="1" applyAlignment="1">
      <alignment horizontal="left" vertical="center"/>
    </xf>
    <xf numFmtId="0" fontId="8" fillId="3" borderId="6" xfId="0" applyFont="1" applyFill="1" applyBorder="1" applyAlignment="1">
      <alignment horizontal="center" vertical="center"/>
    </xf>
    <xf numFmtId="14" fontId="0" fillId="2" borderId="0" xfId="0" applyNumberFormat="1" applyFill="1">
      <alignment vertical="center"/>
    </xf>
    <xf numFmtId="41" fontId="5" fillId="0" borderId="43" xfId="1" applyFont="1" applyBorder="1" applyAlignment="1">
      <alignment horizontal="center" vertical="center" wrapText="1"/>
    </xf>
    <xf numFmtId="41" fontId="6" fillId="0" borderId="3" xfId="1" applyFont="1" applyBorder="1" applyAlignment="1">
      <alignment horizontal="center" vertical="center" wrapText="1"/>
    </xf>
    <xf numFmtId="41" fontId="5" fillId="0" borderId="3" xfId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46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7" xfId="0" applyFont="1" applyBorder="1" applyAlignment="1">
      <alignment horizontal="center" vertical="center"/>
    </xf>
    <xf numFmtId="0" fontId="9" fillId="40" borderId="6" xfId="0" applyFont="1" applyFill="1" applyBorder="1" applyAlignment="1">
      <alignment horizontal="left" vertical="center" indent="1"/>
    </xf>
    <xf numFmtId="0" fontId="9" fillId="3" borderId="6" xfId="0" applyFont="1" applyFill="1" applyBorder="1" applyAlignment="1">
      <alignment horizontal="left" vertical="center" indent="1"/>
    </xf>
    <xf numFmtId="14" fontId="43" fillId="0" borderId="6" xfId="0" applyNumberFormat="1" applyFont="1" applyBorder="1" applyAlignment="1">
      <alignment horizontal="center" vertical="center"/>
    </xf>
    <xf numFmtId="0" fontId="0" fillId="41" borderId="0" xfId="0" applyFill="1">
      <alignment vertical="center"/>
    </xf>
    <xf numFmtId="41" fontId="0" fillId="41" borderId="0" xfId="1" applyFont="1" applyFill="1">
      <alignment vertical="center"/>
    </xf>
    <xf numFmtId="0" fontId="7" fillId="0" borderId="0" xfId="0" applyFont="1" applyAlignment="1">
      <alignment horizontal="left" vertical="center"/>
    </xf>
    <xf numFmtId="0" fontId="43" fillId="0" borderId="11" xfId="0" applyFont="1" applyBorder="1" applyAlignment="1">
      <alignment horizontal="center" vertical="center"/>
    </xf>
    <xf numFmtId="0" fontId="9" fillId="0" borderId="0" xfId="0" applyFont="1">
      <alignment vertical="center"/>
    </xf>
    <xf numFmtId="41" fontId="11" fillId="0" borderId="0" xfId="1" applyFont="1" applyFill="1" applyBorder="1">
      <alignment vertical="center"/>
    </xf>
    <xf numFmtId="0" fontId="43" fillId="8" borderId="6" xfId="0" applyFont="1" applyFill="1" applyBorder="1" applyAlignment="1">
      <alignment horizontal="left" vertical="center" indent="1"/>
    </xf>
    <xf numFmtId="0" fontId="9" fillId="8" borderId="6" xfId="0" applyFont="1" applyFill="1" applyBorder="1" applyAlignment="1">
      <alignment horizontal="left" vertical="center" indent="1"/>
    </xf>
    <xf numFmtId="0" fontId="43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 indent="1"/>
    </xf>
    <xf numFmtId="14" fontId="8" fillId="8" borderId="6" xfId="0" applyNumberFormat="1" applyFont="1" applyFill="1" applyBorder="1" applyAlignment="1">
      <alignment horizontal="center" vertical="center"/>
    </xf>
    <xf numFmtId="41" fontId="8" fillId="8" borderId="6" xfId="1" applyFont="1" applyFill="1" applyBorder="1" applyAlignment="1">
      <alignment horizontal="center" vertical="center"/>
    </xf>
    <xf numFmtId="41" fontId="8" fillId="0" borderId="24" xfId="0" applyNumberFormat="1" applyFont="1" applyBorder="1" applyAlignment="1">
      <alignment horizontal="center" vertical="center"/>
    </xf>
    <xf numFmtId="41" fontId="0" fillId="0" borderId="0" xfId="1" applyFont="1" applyFill="1">
      <alignment vertical="center"/>
    </xf>
    <xf numFmtId="41" fontId="9" fillId="0" borderId="6" xfId="1" applyFont="1" applyFill="1" applyBorder="1" applyAlignment="1">
      <alignment horizontal="center" vertical="center"/>
    </xf>
    <xf numFmtId="41" fontId="9" fillId="8" borderId="6" xfId="1" applyFont="1" applyFill="1" applyBorder="1" applyAlignment="1">
      <alignment horizontal="center" vertical="center"/>
    </xf>
    <xf numFmtId="41" fontId="9" fillId="0" borderId="11" xfId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1" fillId="0" borderId="0" xfId="338" applyAlignment="1">
      <alignment horizontal="left" vertical="center"/>
    </xf>
    <xf numFmtId="41" fontId="8" fillId="0" borderId="0" xfId="1" applyFont="1" applyBorder="1" applyAlignment="1">
      <alignment horizontal="left" vertical="center"/>
    </xf>
    <xf numFmtId="41" fontId="4" fillId="0" borderId="0" xfId="0" applyNumberFormat="1" applyFont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41" fontId="8" fillId="0" borderId="27" xfId="1" applyFont="1" applyFill="1" applyBorder="1" applyAlignment="1">
      <alignment horizontal="center" vertical="center"/>
    </xf>
    <xf numFmtId="41" fontId="8" fillId="8" borderId="27" xfId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9" fillId="41" borderId="6" xfId="0" applyFont="1" applyFill="1" applyBorder="1" applyAlignment="1">
      <alignment horizontal="left" vertical="center" indent="1"/>
    </xf>
    <xf numFmtId="0" fontId="71" fillId="0" borderId="0" xfId="338" applyAlignment="1">
      <alignment horizontal="center" vertical="center"/>
    </xf>
    <xf numFmtId="14" fontId="4" fillId="0" borderId="0" xfId="1" applyNumberFormat="1" applyFon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left" vertical="center"/>
    </xf>
    <xf numFmtId="14" fontId="7" fillId="41" borderId="12" xfId="1" applyNumberFormat="1" applyFont="1" applyFill="1" applyBorder="1" applyAlignment="1">
      <alignment horizontal="center" vertical="center"/>
    </xf>
    <xf numFmtId="41" fontId="4" fillId="0" borderId="0" xfId="1" applyFont="1" applyAlignment="1">
      <alignment horizontal="center" vertical="center"/>
    </xf>
    <xf numFmtId="0" fontId="71" fillId="0" borderId="0" xfId="338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71" fillId="0" borderId="12" xfId="338" applyNumberFormat="1" applyFill="1" applyBorder="1" applyAlignment="1">
      <alignment horizontal="center" vertical="center"/>
    </xf>
    <xf numFmtId="41" fontId="8" fillId="0" borderId="6" xfId="1" applyFont="1" applyFill="1" applyBorder="1" applyAlignment="1">
      <alignment horizontal="left" vertical="center" indent="1"/>
    </xf>
    <xf numFmtId="14" fontId="41" fillId="0" borderId="0" xfId="1" applyNumberFormat="1" applyFont="1" applyBorder="1" applyAlignment="1">
      <alignment horizontal="center" vertical="top"/>
    </xf>
    <xf numFmtId="0" fontId="8" fillId="41" borderId="0" xfId="0" applyFont="1" applyFill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41" fontId="7" fillId="0" borderId="12" xfId="1" applyFont="1" applyFill="1" applyBorder="1">
      <alignment vertical="center"/>
    </xf>
    <xf numFmtId="41" fontId="7" fillId="41" borderId="6" xfId="1" applyFont="1" applyFill="1" applyBorder="1">
      <alignment vertical="center"/>
    </xf>
    <xf numFmtId="14" fontId="5" fillId="0" borderId="0" xfId="1" applyNumberFormat="1" applyFont="1" applyBorder="1" applyAlignment="1">
      <alignment horizontal="center" vertical="top"/>
    </xf>
    <xf numFmtId="41" fontId="8" fillId="0" borderId="6" xfId="1" quotePrefix="1" applyFont="1" applyFill="1" applyBorder="1" applyAlignment="1">
      <alignment horizontal="center" vertical="center"/>
    </xf>
    <xf numFmtId="0" fontId="73" fillId="0" borderId="48" xfId="0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0" fontId="75" fillId="0" borderId="0" xfId="0" applyFont="1">
      <alignment vertical="center"/>
    </xf>
    <xf numFmtId="0" fontId="4" fillId="41" borderId="0" xfId="0" applyFont="1" applyFill="1" applyAlignment="1">
      <alignment horizontal="left" vertical="center"/>
    </xf>
    <xf numFmtId="41" fontId="8" fillId="0" borderId="49" xfId="1" applyFont="1" applyFill="1" applyBorder="1" applyAlignment="1">
      <alignment horizontal="center" vertical="center"/>
    </xf>
    <xf numFmtId="41" fontId="43" fillId="0" borderId="49" xfId="1" applyFont="1" applyFill="1" applyBorder="1" applyAlignment="1">
      <alignment horizontal="center" vertical="center"/>
    </xf>
    <xf numFmtId="41" fontId="8" fillId="0" borderId="50" xfId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41" borderId="12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41" fontId="8" fillId="0" borderId="8" xfId="1" applyFont="1" applyFill="1" applyBorder="1" applyAlignment="1">
      <alignment horizontal="center" vertical="center"/>
    </xf>
    <xf numFmtId="41" fontId="8" fillId="0" borderId="25" xfId="1" applyFont="1" applyFill="1" applyBorder="1" applyAlignment="1">
      <alignment horizontal="center" vertical="center"/>
    </xf>
    <xf numFmtId="41" fontId="8" fillId="0" borderId="19" xfId="1" applyFont="1" applyFill="1" applyBorder="1" applyAlignment="1">
      <alignment horizontal="center" vertical="center"/>
    </xf>
    <xf numFmtId="41" fontId="8" fillId="0" borderId="7" xfId="1" applyFont="1" applyFill="1" applyBorder="1" applyAlignment="1">
      <alignment horizontal="center" vertical="center"/>
    </xf>
    <xf numFmtId="41" fontId="8" fillId="0" borderId="8" xfId="1" applyFont="1" applyBorder="1" applyAlignment="1">
      <alignment horizontal="center" vertical="center"/>
    </xf>
    <xf numFmtId="41" fontId="8" fillId="0" borderId="25" xfId="1" applyFont="1" applyBorder="1" applyAlignment="1">
      <alignment horizontal="center" vertical="center"/>
    </xf>
    <xf numFmtId="41" fontId="43" fillId="0" borderId="8" xfId="1" applyFont="1" applyFill="1" applyBorder="1" applyAlignment="1">
      <alignment horizontal="center" vertical="center"/>
    </xf>
    <xf numFmtId="41" fontId="43" fillId="0" borderId="25" xfId="1" applyFont="1" applyFill="1" applyBorder="1" applyAlignment="1">
      <alignment horizontal="center" vertical="center"/>
    </xf>
    <xf numFmtId="176" fontId="5" fillId="42" borderId="3" xfId="0" applyNumberFormat="1" applyFont="1" applyFill="1" applyBorder="1" applyAlignment="1">
      <alignment horizontal="center" vertical="center" wrapText="1"/>
    </xf>
    <xf numFmtId="176" fontId="5" fillId="42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78" fontId="12" fillId="4" borderId="16" xfId="4" applyNumberFormat="1" applyFont="1" applyFill="1" applyBorder="1" applyAlignment="1">
      <alignment horizontal="center" vertical="center"/>
    </xf>
    <xf numFmtId="178" fontId="12" fillId="4" borderId="20" xfId="4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center" vertical="center"/>
    </xf>
  </cellXfs>
  <cellStyles count="339">
    <cellStyle name="_Intel" xfId="5" xr:uid="{00000000-0005-0000-0000-000000000000}"/>
    <cellStyle name="_제이엔지시스템(SB3163SA-2061-케비넷)박장훈사장님(발송)060516(2)" xfId="6" xr:uid="{00000000-0005-0000-0000-000001000000}"/>
    <cellStyle name="20% - 강조색1 2" xfId="67" xr:uid="{00000000-0005-0000-0000-000002000000}"/>
    <cellStyle name="20% - 강조색2 2" xfId="68" xr:uid="{00000000-0005-0000-0000-000003000000}"/>
    <cellStyle name="20% - 강조색3 2" xfId="69" xr:uid="{00000000-0005-0000-0000-000004000000}"/>
    <cellStyle name="20% - 강조색4 2" xfId="70" xr:uid="{00000000-0005-0000-0000-000005000000}"/>
    <cellStyle name="20% - 강조색5 2" xfId="71" xr:uid="{00000000-0005-0000-0000-000006000000}"/>
    <cellStyle name="20% - 강조색6 2" xfId="72" xr:uid="{00000000-0005-0000-0000-000007000000}"/>
    <cellStyle name="40% - 강조색1 2" xfId="73" xr:uid="{00000000-0005-0000-0000-000008000000}"/>
    <cellStyle name="40% - 강조색2 2" xfId="74" xr:uid="{00000000-0005-0000-0000-000009000000}"/>
    <cellStyle name="40% - 강조색3 2" xfId="75" xr:uid="{00000000-0005-0000-0000-00000A000000}"/>
    <cellStyle name="40% - 강조색4 2" xfId="76" xr:uid="{00000000-0005-0000-0000-00000B000000}"/>
    <cellStyle name="40% - 강조색5 2" xfId="77" xr:uid="{00000000-0005-0000-0000-00000C000000}"/>
    <cellStyle name="40% - 강조색6 2" xfId="78" xr:uid="{00000000-0005-0000-0000-00000D000000}"/>
    <cellStyle name="60% - 강조색1 2" xfId="79" xr:uid="{00000000-0005-0000-0000-00000E000000}"/>
    <cellStyle name="60% - 강조색2 2" xfId="80" xr:uid="{00000000-0005-0000-0000-00000F000000}"/>
    <cellStyle name="60% - 강조색3 2" xfId="81" xr:uid="{00000000-0005-0000-0000-000010000000}"/>
    <cellStyle name="60% - 강조색4 2" xfId="82" xr:uid="{00000000-0005-0000-0000-000011000000}"/>
    <cellStyle name="60% - 강조색5 2" xfId="83" xr:uid="{00000000-0005-0000-0000-000012000000}"/>
    <cellStyle name="60% - 강조색6 2" xfId="84" xr:uid="{00000000-0005-0000-0000-000013000000}"/>
    <cellStyle name="Calc Currency (0)" xfId="7" xr:uid="{00000000-0005-0000-0000-000014000000}"/>
    <cellStyle name="category" xfId="8" xr:uid="{00000000-0005-0000-0000-000015000000}"/>
    <cellStyle name="Comma [0] 4 3" xfId="114" xr:uid="{00000000-0005-0000-0000-000016000000}"/>
    <cellStyle name="Comma [0]_500700서버 2003년 4월 가격표1" xfId="9" xr:uid="{00000000-0005-0000-0000-000017000000}"/>
    <cellStyle name="Comma_500700서버 2003년 4월 가격표1" xfId="10" xr:uid="{00000000-0005-0000-0000-000018000000}"/>
    <cellStyle name="Grey" xfId="11" xr:uid="{00000000-0005-0000-0000-000019000000}"/>
    <cellStyle name="HEADER" xfId="12" xr:uid="{00000000-0005-0000-0000-00001A000000}"/>
    <cellStyle name="Header1" xfId="13" xr:uid="{00000000-0005-0000-0000-00001B000000}"/>
    <cellStyle name="Header2" xfId="14" xr:uid="{00000000-0005-0000-0000-00001C000000}"/>
    <cellStyle name="Input [yellow]" xfId="15" xr:uid="{00000000-0005-0000-0000-00001D000000}"/>
    <cellStyle name="Model" xfId="16" xr:uid="{00000000-0005-0000-0000-00001E000000}"/>
    <cellStyle name="Model 2" xfId="116" xr:uid="{00000000-0005-0000-0000-00001F000000}"/>
    <cellStyle name="Normal - Style1" xfId="17" xr:uid="{00000000-0005-0000-0000-000020000000}"/>
    <cellStyle name="Normal 4 18 3" xfId="117" xr:uid="{00000000-0005-0000-0000-000021000000}"/>
    <cellStyle name="Normal_#10-Headcount" xfId="18" xr:uid="{00000000-0005-0000-0000-000022000000}"/>
    <cellStyle name="Percent [2]" xfId="19" xr:uid="{00000000-0005-0000-0000-000023000000}"/>
    <cellStyle name="subhead" xfId="20" xr:uid="{00000000-0005-0000-0000-000024000000}"/>
    <cellStyle name="강조색1 2" xfId="85" xr:uid="{00000000-0005-0000-0000-000025000000}"/>
    <cellStyle name="강조색2 2" xfId="86" xr:uid="{00000000-0005-0000-0000-000026000000}"/>
    <cellStyle name="강조색3 2" xfId="87" xr:uid="{00000000-0005-0000-0000-000027000000}"/>
    <cellStyle name="강조색4 2" xfId="88" xr:uid="{00000000-0005-0000-0000-000028000000}"/>
    <cellStyle name="강조색5 2" xfId="89" xr:uid="{00000000-0005-0000-0000-000029000000}"/>
    <cellStyle name="강조색6 2" xfId="90" xr:uid="{00000000-0005-0000-0000-00002A000000}"/>
    <cellStyle name="경고문 2" xfId="91" xr:uid="{00000000-0005-0000-0000-00002B000000}"/>
    <cellStyle name="계산 2" xfId="92" xr:uid="{00000000-0005-0000-0000-00002C000000}"/>
    <cellStyle name="나쁨 2" xfId="93" xr:uid="{00000000-0005-0000-0000-00002D000000}"/>
    <cellStyle name="메모 2" xfId="94" xr:uid="{00000000-0005-0000-0000-00002E000000}"/>
    <cellStyle name="백분율" xfId="337" builtinId="5"/>
    <cellStyle name="백분율 2" xfId="21" xr:uid="{00000000-0005-0000-0000-000030000000}"/>
    <cellStyle name="백분율 2 2" xfId="118" xr:uid="{00000000-0005-0000-0000-000031000000}"/>
    <cellStyle name="백분율 2 3" xfId="95" xr:uid="{00000000-0005-0000-0000-000032000000}"/>
    <cellStyle name="백분율 3" xfId="38" xr:uid="{00000000-0005-0000-0000-000033000000}"/>
    <cellStyle name="백분율 3 2" xfId="119" xr:uid="{00000000-0005-0000-0000-000034000000}"/>
    <cellStyle name="보통 2" xfId="96" xr:uid="{00000000-0005-0000-0000-000035000000}"/>
    <cellStyle name="설명 텍스트 2" xfId="97" xr:uid="{00000000-0005-0000-0000-000036000000}"/>
    <cellStyle name="셀 확인 2" xfId="98" xr:uid="{00000000-0005-0000-0000-000037000000}"/>
    <cellStyle name="쉼표 [0]" xfId="1" builtinId="6"/>
    <cellStyle name="쉼표 [0] 10" xfId="33" xr:uid="{00000000-0005-0000-0000-000039000000}"/>
    <cellStyle name="쉼표 [0] 11" xfId="313" xr:uid="{00000000-0005-0000-0000-00003A000000}"/>
    <cellStyle name="쉼표 [0] 2" xfId="2" xr:uid="{00000000-0005-0000-0000-00003B000000}"/>
    <cellStyle name="쉼표 [0] 2 2" xfId="43" xr:uid="{00000000-0005-0000-0000-00003C000000}"/>
    <cellStyle name="쉼표 [0] 2 2 2" xfId="22" xr:uid="{00000000-0005-0000-0000-00003D000000}"/>
    <cellStyle name="쉼표 [0] 2 2 2 2" xfId="120" xr:uid="{00000000-0005-0000-0000-00003E000000}"/>
    <cellStyle name="쉼표 [0] 2 2 2 2 2" xfId="324" xr:uid="{00000000-0005-0000-0000-00003F000000}"/>
    <cellStyle name="쉼표 [0] 2 2 2 3" xfId="332" xr:uid="{00000000-0005-0000-0000-000040000000}"/>
    <cellStyle name="쉼표 [0] 2 2 2 4" xfId="316" xr:uid="{00000000-0005-0000-0000-000041000000}"/>
    <cellStyle name="쉼표 [0] 2 2 3" xfId="58" xr:uid="{00000000-0005-0000-0000-000042000000}"/>
    <cellStyle name="쉼표 [0] 2 2 4" xfId="322" xr:uid="{00000000-0005-0000-0000-000043000000}"/>
    <cellStyle name="쉼표 [0] 2 3" xfId="48" xr:uid="{00000000-0005-0000-0000-000044000000}"/>
    <cellStyle name="쉼표 [0] 2 3 2" xfId="121" xr:uid="{00000000-0005-0000-0000-000045000000}"/>
    <cellStyle name="쉼표 [0] 2 3 3" xfId="63" xr:uid="{00000000-0005-0000-0000-000046000000}"/>
    <cellStyle name="쉼표 [0] 2 3 4" xfId="330" xr:uid="{00000000-0005-0000-0000-000047000000}"/>
    <cellStyle name="쉼표 [0] 2 4" xfId="100" xr:uid="{00000000-0005-0000-0000-000048000000}"/>
    <cellStyle name="쉼표 [0] 2 5" xfId="53" xr:uid="{00000000-0005-0000-0000-000049000000}"/>
    <cellStyle name="쉼표 [0] 2 6" xfId="34" xr:uid="{00000000-0005-0000-0000-00004A000000}"/>
    <cellStyle name="쉼표 [0] 2 7" xfId="314" xr:uid="{00000000-0005-0000-0000-00004B000000}"/>
    <cellStyle name="쉼표 [0] 3" xfId="23" xr:uid="{00000000-0005-0000-0000-00004C000000}"/>
    <cellStyle name="쉼표 [0] 3 2" xfId="45" xr:uid="{00000000-0005-0000-0000-00004D000000}"/>
    <cellStyle name="쉼표 [0] 3 2 2" xfId="123" xr:uid="{00000000-0005-0000-0000-00004E000000}"/>
    <cellStyle name="쉼표 [0] 3 2 3" xfId="60" xr:uid="{00000000-0005-0000-0000-00004F000000}"/>
    <cellStyle name="쉼표 [0] 3 2 4" xfId="325" xr:uid="{00000000-0005-0000-0000-000050000000}"/>
    <cellStyle name="쉼표 [0] 3 3" xfId="50" xr:uid="{00000000-0005-0000-0000-000051000000}"/>
    <cellStyle name="쉼표 [0] 3 3 2" xfId="65" xr:uid="{00000000-0005-0000-0000-000052000000}"/>
    <cellStyle name="쉼표 [0] 3 3 3" xfId="333" xr:uid="{00000000-0005-0000-0000-000053000000}"/>
    <cellStyle name="쉼표 [0] 3 4" xfId="101" xr:uid="{00000000-0005-0000-0000-000054000000}"/>
    <cellStyle name="쉼표 [0] 3 5" xfId="122" xr:uid="{00000000-0005-0000-0000-000055000000}"/>
    <cellStyle name="쉼표 [0] 3 6" xfId="55" xr:uid="{00000000-0005-0000-0000-000056000000}"/>
    <cellStyle name="쉼표 [0] 3 7" xfId="39" xr:uid="{00000000-0005-0000-0000-000057000000}"/>
    <cellStyle name="쉼표 [0] 3 8" xfId="317" xr:uid="{00000000-0005-0000-0000-000058000000}"/>
    <cellStyle name="쉼표 [0] 4" xfId="24" xr:uid="{00000000-0005-0000-0000-000059000000}"/>
    <cellStyle name="쉼표 [0] 4 2" xfId="44" xr:uid="{00000000-0005-0000-0000-00005A000000}"/>
    <cellStyle name="쉼표 [0] 4 2 2" xfId="125" xr:uid="{00000000-0005-0000-0000-00005B000000}"/>
    <cellStyle name="쉼표 [0] 4 2 3" xfId="59" xr:uid="{00000000-0005-0000-0000-00005C000000}"/>
    <cellStyle name="쉼표 [0] 4 2 4" xfId="326" xr:uid="{00000000-0005-0000-0000-00005D000000}"/>
    <cellStyle name="쉼표 [0] 4 3" xfId="49" xr:uid="{00000000-0005-0000-0000-00005E000000}"/>
    <cellStyle name="쉼표 [0] 4 3 2" xfId="64" xr:uid="{00000000-0005-0000-0000-00005F000000}"/>
    <cellStyle name="쉼표 [0] 4 3 3" xfId="334" xr:uid="{00000000-0005-0000-0000-000060000000}"/>
    <cellStyle name="쉼표 [0] 4 4" xfId="102" xr:uid="{00000000-0005-0000-0000-000061000000}"/>
    <cellStyle name="쉼표 [0] 4 5" xfId="124" xr:uid="{00000000-0005-0000-0000-000062000000}"/>
    <cellStyle name="쉼표 [0] 4 6" xfId="54" xr:uid="{00000000-0005-0000-0000-000063000000}"/>
    <cellStyle name="쉼표 [0] 4 7" xfId="37" xr:uid="{00000000-0005-0000-0000-000064000000}"/>
    <cellStyle name="쉼표 [0] 4 8" xfId="318" xr:uid="{00000000-0005-0000-0000-000065000000}"/>
    <cellStyle name="쉼표 [0] 5" xfId="25" xr:uid="{00000000-0005-0000-0000-000066000000}"/>
    <cellStyle name="쉼표 [0] 5 2" xfId="127" xr:uid="{00000000-0005-0000-0000-000067000000}"/>
    <cellStyle name="쉼표 [0] 5 2 2" xfId="327" xr:uid="{00000000-0005-0000-0000-000068000000}"/>
    <cellStyle name="쉼표 [0] 5 3" xfId="126" xr:uid="{00000000-0005-0000-0000-000069000000}"/>
    <cellStyle name="쉼표 [0] 5 3 2" xfId="335" xr:uid="{00000000-0005-0000-0000-00006A000000}"/>
    <cellStyle name="쉼표 [0] 5 4" xfId="57" xr:uid="{00000000-0005-0000-0000-00006B000000}"/>
    <cellStyle name="쉼표 [0] 5 5" xfId="42" xr:uid="{00000000-0005-0000-0000-00006C000000}"/>
    <cellStyle name="쉼표 [0] 5 6" xfId="319" xr:uid="{00000000-0005-0000-0000-00006D000000}"/>
    <cellStyle name="쉼표 [0] 6" xfId="47" xr:uid="{00000000-0005-0000-0000-00006E000000}"/>
    <cellStyle name="쉼표 [0] 6 2" xfId="62" xr:uid="{00000000-0005-0000-0000-00006F000000}"/>
    <cellStyle name="쉼표 [0] 6 3" xfId="321" xr:uid="{00000000-0005-0000-0000-000070000000}"/>
    <cellStyle name="쉼표 [0] 7" xfId="99" xr:uid="{00000000-0005-0000-0000-000071000000}"/>
    <cellStyle name="쉼표 [0] 7 2" xfId="329" xr:uid="{00000000-0005-0000-0000-000072000000}"/>
    <cellStyle name="쉼표 [0] 8" xfId="26" xr:uid="{00000000-0005-0000-0000-000073000000}"/>
    <cellStyle name="쉼표 [0] 8 2" xfId="128" xr:uid="{00000000-0005-0000-0000-000074000000}"/>
    <cellStyle name="쉼표 [0] 8 2 2" xfId="328" xr:uid="{00000000-0005-0000-0000-000075000000}"/>
    <cellStyle name="쉼표 [0] 8 3" xfId="336" xr:uid="{00000000-0005-0000-0000-000076000000}"/>
    <cellStyle name="쉼표 [0] 8 4" xfId="320" xr:uid="{00000000-0005-0000-0000-000077000000}"/>
    <cellStyle name="쉼표 [0] 9" xfId="52" xr:uid="{00000000-0005-0000-0000-000078000000}"/>
    <cellStyle name="쉼표 2" xfId="129" xr:uid="{00000000-0005-0000-0000-000079000000}"/>
    <cellStyle name="쉼표 3" xfId="130" xr:uid="{00000000-0005-0000-0000-00007A000000}"/>
    <cellStyle name="스타일 1" xfId="27" xr:uid="{00000000-0005-0000-0000-00007B000000}"/>
    <cellStyle name="안건회계법인" xfId="28" xr:uid="{00000000-0005-0000-0000-00007C000000}"/>
    <cellStyle name="연결된 셀 2" xfId="103" xr:uid="{00000000-0005-0000-0000-00007D000000}"/>
    <cellStyle name="요약 2" xfId="104" xr:uid="{00000000-0005-0000-0000-00007E000000}"/>
    <cellStyle name="입력 2" xfId="105" xr:uid="{00000000-0005-0000-0000-00007F000000}"/>
    <cellStyle name="제목 1 2" xfId="106" xr:uid="{00000000-0005-0000-0000-000080000000}"/>
    <cellStyle name="제목 2 2" xfId="107" xr:uid="{00000000-0005-0000-0000-000081000000}"/>
    <cellStyle name="제목 3 2" xfId="108" xr:uid="{00000000-0005-0000-0000-000082000000}"/>
    <cellStyle name="제목 4 2" xfId="109" xr:uid="{00000000-0005-0000-0000-000083000000}"/>
    <cellStyle name="제목 5" xfId="110" xr:uid="{00000000-0005-0000-0000-000084000000}"/>
    <cellStyle name="좋음 2" xfId="111" xr:uid="{00000000-0005-0000-0000-000085000000}"/>
    <cellStyle name="출력 2" xfId="112" xr:uid="{00000000-0005-0000-0000-000086000000}"/>
    <cellStyle name="콤마 [0]_#18_upgr" xfId="131" xr:uid="{00000000-0005-0000-0000-000087000000}"/>
    <cellStyle name="콤마_#18_upgr" xfId="132" xr:uid="{00000000-0005-0000-0000-000088000000}"/>
    <cellStyle name="통화 [0] 2" xfId="3" xr:uid="{00000000-0005-0000-0000-000089000000}"/>
    <cellStyle name="통화 [0] 2 2" xfId="133" xr:uid="{00000000-0005-0000-0000-00008A000000}"/>
    <cellStyle name="통화 [0] 2 2 2" xfId="323" xr:uid="{00000000-0005-0000-0000-00008B000000}"/>
    <cellStyle name="통화 [0] 2 3" xfId="331" xr:uid="{00000000-0005-0000-0000-00008C000000}"/>
    <cellStyle name="통화 [0] 2 4" xfId="315" xr:uid="{00000000-0005-0000-0000-00008D000000}"/>
    <cellStyle name="통화 [0] 3" xfId="134" xr:uid="{00000000-0005-0000-0000-00008E000000}"/>
    <cellStyle name="통화 10" xfId="115" xr:uid="{00000000-0005-0000-0000-00008F000000}"/>
    <cellStyle name="통화 2" xfId="46" xr:uid="{00000000-0005-0000-0000-000090000000}"/>
    <cellStyle name="통화 2 2" xfId="61" xr:uid="{00000000-0005-0000-0000-000091000000}"/>
    <cellStyle name="통화 3" xfId="51" xr:uid="{00000000-0005-0000-0000-000092000000}"/>
    <cellStyle name="통화 3 2" xfId="66" xr:uid="{00000000-0005-0000-0000-000093000000}"/>
    <cellStyle name="통화 4" xfId="56" xr:uid="{00000000-0005-0000-0000-000094000000}"/>
    <cellStyle name="통화 5" xfId="309" xr:uid="{00000000-0005-0000-0000-000095000000}"/>
    <cellStyle name="통화 6" xfId="312" xr:uid="{00000000-0005-0000-0000-000096000000}"/>
    <cellStyle name="통화 7" xfId="310" xr:uid="{00000000-0005-0000-0000-000097000000}"/>
    <cellStyle name="통화 8" xfId="311" xr:uid="{00000000-0005-0000-0000-000098000000}"/>
    <cellStyle name="통화 9" xfId="40" xr:uid="{00000000-0005-0000-0000-000099000000}"/>
    <cellStyle name="표준" xfId="0" builtinId="0"/>
    <cellStyle name="표준 10" xfId="135" xr:uid="{00000000-0005-0000-0000-00009B000000}"/>
    <cellStyle name="표준 100" xfId="136" xr:uid="{00000000-0005-0000-0000-00009C000000}"/>
    <cellStyle name="표준 101" xfId="137" xr:uid="{00000000-0005-0000-0000-00009D000000}"/>
    <cellStyle name="표준 102" xfId="138" xr:uid="{00000000-0005-0000-0000-00009E000000}"/>
    <cellStyle name="표준 103" xfId="139" xr:uid="{00000000-0005-0000-0000-00009F000000}"/>
    <cellStyle name="표준 104" xfId="140" xr:uid="{00000000-0005-0000-0000-0000A0000000}"/>
    <cellStyle name="표준 105" xfId="141" xr:uid="{00000000-0005-0000-0000-0000A1000000}"/>
    <cellStyle name="표준 106" xfId="142" xr:uid="{00000000-0005-0000-0000-0000A2000000}"/>
    <cellStyle name="표준 107" xfId="143" xr:uid="{00000000-0005-0000-0000-0000A3000000}"/>
    <cellStyle name="표준 108" xfId="144" xr:uid="{00000000-0005-0000-0000-0000A4000000}"/>
    <cellStyle name="표준 109" xfId="145" xr:uid="{00000000-0005-0000-0000-0000A5000000}"/>
    <cellStyle name="표준 11" xfId="146" xr:uid="{00000000-0005-0000-0000-0000A6000000}"/>
    <cellStyle name="표준 110" xfId="147" xr:uid="{00000000-0005-0000-0000-0000A7000000}"/>
    <cellStyle name="표준 111" xfId="148" xr:uid="{00000000-0005-0000-0000-0000A8000000}"/>
    <cellStyle name="표준 112" xfId="149" xr:uid="{00000000-0005-0000-0000-0000A9000000}"/>
    <cellStyle name="표준 113" xfId="150" xr:uid="{00000000-0005-0000-0000-0000AA000000}"/>
    <cellStyle name="표준 114" xfId="151" xr:uid="{00000000-0005-0000-0000-0000AB000000}"/>
    <cellStyle name="표준 115" xfId="152" xr:uid="{00000000-0005-0000-0000-0000AC000000}"/>
    <cellStyle name="표준 116" xfId="153" xr:uid="{00000000-0005-0000-0000-0000AD000000}"/>
    <cellStyle name="표준 117" xfId="154" xr:uid="{00000000-0005-0000-0000-0000AE000000}"/>
    <cellStyle name="표준 118" xfId="155" xr:uid="{00000000-0005-0000-0000-0000AF000000}"/>
    <cellStyle name="표준 119" xfId="156" xr:uid="{00000000-0005-0000-0000-0000B0000000}"/>
    <cellStyle name="표준 12" xfId="157" xr:uid="{00000000-0005-0000-0000-0000B1000000}"/>
    <cellStyle name="표준 120" xfId="158" xr:uid="{00000000-0005-0000-0000-0000B2000000}"/>
    <cellStyle name="표준 121" xfId="159" xr:uid="{00000000-0005-0000-0000-0000B3000000}"/>
    <cellStyle name="표준 122" xfId="160" xr:uid="{00000000-0005-0000-0000-0000B4000000}"/>
    <cellStyle name="표준 123" xfId="161" xr:uid="{00000000-0005-0000-0000-0000B5000000}"/>
    <cellStyle name="표준 124" xfId="162" xr:uid="{00000000-0005-0000-0000-0000B6000000}"/>
    <cellStyle name="표준 125" xfId="163" xr:uid="{00000000-0005-0000-0000-0000B7000000}"/>
    <cellStyle name="표준 126" xfId="164" xr:uid="{00000000-0005-0000-0000-0000B8000000}"/>
    <cellStyle name="표준 127" xfId="165" xr:uid="{00000000-0005-0000-0000-0000B9000000}"/>
    <cellStyle name="표준 128" xfId="166" xr:uid="{00000000-0005-0000-0000-0000BA000000}"/>
    <cellStyle name="표준 129" xfId="167" xr:uid="{00000000-0005-0000-0000-0000BB000000}"/>
    <cellStyle name="표준 13" xfId="168" xr:uid="{00000000-0005-0000-0000-0000BC000000}"/>
    <cellStyle name="표준 130" xfId="169" xr:uid="{00000000-0005-0000-0000-0000BD000000}"/>
    <cellStyle name="표준 131" xfId="170" xr:uid="{00000000-0005-0000-0000-0000BE000000}"/>
    <cellStyle name="표준 132" xfId="171" xr:uid="{00000000-0005-0000-0000-0000BF000000}"/>
    <cellStyle name="표준 133" xfId="172" xr:uid="{00000000-0005-0000-0000-0000C0000000}"/>
    <cellStyle name="표준 134" xfId="173" xr:uid="{00000000-0005-0000-0000-0000C1000000}"/>
    <cellStyle name="표준 135" xfId="174" xr:uid="{00000000-0005-0000-0000-0000C2000000}"/>
    <cellStyle name="표준 136" xfId="175" xr:uid="{00000000-0005-0000-0000-0000C3000000}"/>
    <cellStyle name="표준 137" xfId="176" xr:uid="{00000000-0005-0000-0000-0000C4000000}"/>
    <cellStyle name="표준 138" xfId="177" xr:uid="{00000000-0005-0000-0000-0000C5000000}"/>
    <cellStyle name="표준 139" xfId="178" xr:uid="{00000000-0005-0000-0000-0000C6000000}"/>
    <cellStyle name="표준 14" xfId="179" xr:uid="{00000000-0005-0000-0000-0000C7000000}"/>
    <cellStyle name="표준 140" xfId="180" xr:uid="{00000000-0005-0000-0000-0000C8000000}"/>
    <cellStyle name="표준 141" xfId="181" xr:uid="{00000000-0005-0000-0000-0000C9000000}"/>
    <cellStyle name="표준 142" xfId="182" xr:uid="{00000000-0005-0000-0000-0000CA000000}"/>
    <cellStyle name="표준 143" xfId="183" xr:uid="{00000000-0005-0000-0000-0000CB000000}"/>
    <cellStyle name="표준 144" xfId="184" xr:uid="{00000000-0005-0000-0000-0000CC000000}"/>
    <cellStyle name="표준 145" xfId="185" xr:uid="{00000000-0005-0000-0000-0000CD000000}"/>
    <cellStyle name="표준 146" xfId="186" xr:uid="{00000000-0005-0000-0000-0000CE000000}"/>
    <cellStyle name="표준 147" xfId="187" xr:uid="{00000000-0005-0000-0000-0000CF000000}"/>
    <cellStyle name="표준 148" xfId="188" xr:uid="{00000000-0005-0000-0000-0000D0000000}"/>
    <cellStyle name="표준 149" xfId="189" xr:uid="{00000000-0005-0000-0000-0000D1000000}"/>
    <cellStyle name="표준 15" xfId="190" xr:uid="{00000000-0005-0000-0000-0000D2000000}"/>
    <cellStyle name="표준 150" xfId="191" xr:uid="{00000000-0005-0000-0000-0000D3000000}"/>
    <cellStyle name="표준 151" xfId="192" xr:uid="{00000000-0005-0000-0000-0000D4000000}"/>
    <cellStyle name="표준 152" xfId="193" xr:uid="{00000000-0005-0000-0000-0000D5000000}"/>
    <cellStyle name="표준 153" xfId="194" xr:uid="{00000000-0005-0000-0000-0000D6000000}"/>
    <cellStyle name="표준 154" xfId="195" xr:uid="{00000000-0005-0000-0000-0000D7000000}"/>
    <cellStyle name="표준 155" xfId="196" xr:uid="{00000000-0005-0000-0000-0000D8000000}"/>
    <cellStyle name="표준 156" xfId="197" xr:uid="{00000000-0005-0000-0000-0000D9000000}"/>
    <cellStyle name="표준 157" xfId="198" xr:uid="{00000000-0005-0000-0000-0000DA000000}"/>
    <cellStyle name="표준 158" xfId="199" xr:uid="{00000000-0005-0000-0000-0000DB000000}"/>
    <cellStyle name="표준 159" xfId="200" xr:uid="{00000000-0005-0000-0000-0000DC000000}"/>
    <cellStyle name="표준 16" xfId="201" xr:uid="{00000000-0005-0000-0000-0000DD000000}"/>
    <cellStyle name="표준 160" xfId="202" xr:uid="{00000000-0005-0000-0000-0000DE000000}"/>
    <cellStyle name="표준 161" xfId="203" xr:uid="{00000000-0005-0000-0000-0000DF000000}"/>
    <cellStyle name="표준 162" xfId="204" xr:uid="{00000000-0005-0000-0000-0000E0000000}"/>
    <cellStyle name="표준 163" xfId="205" xr:uid="{00000000-0005-0000-0000-0000E1000000}"/>
    <cellStyle name="표준 164" xfId="206" xr:uid="{00000000-0005-0000-0000-0000E2000000}"/>
    <cellStyle name="표준 165" xfId="207" xr:uid="{00000000-0005-0000-0000-0000E3000000}"/>
    <cellStyle name="표준 166" xfId="113" xr:uid="{00000000-0005-0000-0000-0000E4000000}"/>
    <cellStyle name="표준 17" xfId="208" xr:uid="{00000000-0005-0000-0000-0000E5000000}"/>
    <cellStyle name="표준 18" xfId="209" xr:uid="{00000000-0005-0000-0000-0000E6000000}"/>
    <cellStyle name="표준 19" xfId="210" xr:uid="{00000000-0005-0000-0000-0000E7000000}"/>
    <cellStyle name="표준 2" xfId="4" xr:uid="{00000000-0005-0000-0000-0000E8000000}"/>
    <cellStyle name="표준 2 2" xfId="211" xr:uid="{00000000-0005-0000-0000-0000E9000000}"/>
    <cellStyle name="표준 2 3" xfId="212" xr:uid="{00000000-0005-0000-0000-0000EA000000}"/>
    <cellStyle name="표준 2 4" xfId="213" xr:uid="{00000000-0005-0000-0000-0000EB000000}"/>
    <cellStyle name="표준 2 5" xfId="35" xr:uid="{00000000-0005-0000-0000-0000EC000000}"/>
    <cellStyle name="표준 20" xfId="214" xr:uid="{00000000-0005-0000-0000-0000ED000000}"/>
    <cellStyle name="표준 21" xfId="215" xr:uid="{00000000-0005-0000-0000-0000EE000000}"/>
    <cellStyle name="표준 22" xfId="216" xr:uid="{00000000-0005-0000-0000-0000EF000000}"/>
    <cellStyle name="표준 23" xfId="217" xr:uid="{00000000-0005-0000-0000-0000F0000000}"/>
    <cellStyle name="표준 24" xfId="218" xr:uid="{00000000-0005-0000-0000-0000F1000000}"/>
    <cellStyle name="표준 25" xfId="219" xr:uid="{00000000-0005-0000-0000-0000F2000000}"/>
    <cellStyle name="표준 26" xfId="220" xr:uid="{00000000-0005-0000-0000-0000F3000000}"/>
    <cellStyle name="표준 27" xfId="221" xr:uid="{00000000-0005-0000-0000-0000F4000000}"/>
    <cellStyle name="표준 28" xfId="222" xr:uid="{00000000-0005-0000-0000-0000F5000000}"/>
    <cellStyle name="표준 29" xfId="223" xr:uid="{00000000-0005-0000-0000-0000F6000000}"/>
    <cellStyle name="표준 3" xfId="29" xr:uid="{00000000-0005-0000-0000-0000F7000000}"/>
    <cellStyle name="표준 3 2" xfId="225" xr:uid="{00000000-0005-0000-0000-0000F8000000}"/>
    <cellStyle name="표준 3 2 2" xfId="226" xr:uid="{00000000-0005-0000-0000-0000F9000000}"/>
    <cellStyle name="표준 3 3" xfId="227" xr:uid="{00000000-0005-0000-0000-0000FA000000}"/>
    <cellStyle name="표준 3 4" xfId="224" xr:uid="{00000000-0005-0000-0000-0000FB000000}"/>
    <cellStyle name="표준 3 5" xfId="41" xr:uid="{00000000-0005-0000-0000-0000FC000000}"/>
    <cellStyle name="표준 30" xfId="228" xr:uid="{00000000-0005-0000-0000-0000FD000000}"/>
    <cellStyle name="표준 31" xfId="229" xr:uid="{00000000-0005-0000-0000-0000FE000000}"/>
    <cellStyle name="표준 32" xfId="230" xr:uid="{00000000-0005-0000-0000-0000FF000000}"/>
    <cellStyle name="표준 33" xfId="231" xr:uid="{00000000-0005-0000-0000-000000010000}"/>
    <cellStyle name="표준 34" xfId="232" xr:uid="{00000000-0005-0000-0000-000001010000}"/>
    <cellStyle name="표준 35" xfId="233" xr:uid="{00000000-0005-0000-0000-000002010000}"/>
    <cellStyle name="표준 36" xfId="234" xr:uid="{00000000-0005-0000-0000-000003010000}"/>
    <cellStyle name="표준 37" xfId="235" xr:uid="{00000000-0005-0000-0000-000004010000}"/>
    <cellStyle name="표준 38" xfId="236" xr:uid="{00000000-0005-0000-0000-000005010000}"/>
    <cellStyle name="표준 39" xfId="237" xr:uid="{00000000-0005-0000-0000-000006010000}"/>
    <cellStyle name="표준 4" xfId="30" xr:uid="{00000000-0005-0000-0000-000007010000}"/>
    <cellStyle name="표준 4 2" xfId="239" xr:uid="{00000000-0005-0000-0000-000008010000}"/>
    <cellStyle name="표준 4 3" xfId="238" xr:uid="{00000000-0005-0000-0000-000009010000}"/>
    <cellStyle name="표준 40" xfId="240" xr:uid="{00000000-0005-0000-0000-00000A010000}"/>
    <cellStyle name="표준 41" xfId="241" xr:uid="{00000000-0005-0000-0000-00000B010000}"/>
    <cellStyle name="표준 42" xfId="242" xr:uid="{00000000-0005-0000-0000-00000C010000}"/>
    <cellStyle name="표준 43" xfId="243" xr:uid="{00000000-0005-0000-0000-00000D010000}"/>
    <cellStyle name="표준 44" xfId="244" xr:uid="{00000000-0005-0000-0000-00000E010000}"/>
    <cellStyle name="표준 45" xfId="245" xr:uid="{00000000-0005-0000-0000-00000F010000}"/>
    <cellStyle name="표준 46" xfId="246" xr:uid="{00000000-0005-0000-0000-000010010000}"/>
    <cellStyle name="표준 47" xfId="247" xr:uid="{00000000-0005-0000-0000-000011010000}"/>
    <cellStyle name="표준 48" xfId="248" xr:uid="{00000000-0005-0000-0000-000012010000}"/>
    <cellStyle name="표준 49" xfId="249" xr:uid="{00000000-0005-0000-0000-000013010000}"/>
    <cellStyle name="표준 5" xfId="31" xr:uid="{00000000-0005-0000-0000-000014010000}"/>
    <cellStyle name="표준 5 2" xfId="251" xr:uid="{00000000-0005-0000-0000-000015010000}"/>
    <cellStyle name="표준 5 3" xfId="250" xr:uid="{00000000-0005-0000-0000-000016010000}"/>
    <cellStyle name="표준 50" xfId="252" xr:uid="{00000000-0005-0000-0000-000017010000}"/>
    <cellStyle name="표준 51" xfId="253" xr:uid="{00000000-0005-0000-0000-000018010000}"/>
    <cellStyle name="표준 52" xfId="254" xr:uid="{00000000-0005-0000-0000-000019010000}"/>
    <cellStyle name="표준 53" xfId="255" xr:uid="{00000000-0005-0000-0000-00001A010000}"/>
    <cellStyle name="표준 54" xfId="256" xr:uid="{00000000-0005-0000-0000-00001B010000}"/>
    <cellStyle name="표준 55" xfId="257" xr:uid="{00000000-0005-0000-0000-00001C010000}"/>
    <cellStyle name="표준 56" xfId="258" xr:uid="{00000000-0005-0000-0000-00001D010000}"/>
    <cellStyle name="표준 57" xfId="259" xr:uid="{00000000-0005-0000-0000-00001E010000}"/>
    <cellStyle name="표준 58" xfId="260" xr:uid="{00000000-0005-0000-0000-00001F010000}"/>
    <cellStyle name="표준 59" xfId="261" xr:uid="{00000000-0005-0000-0000-000020010000}"/>
    <cellStyle name="표준 6" xfId="262" xr:uid="{00000000-0005-0000-0000-000021010000}"/>
    <cellStyle name="표준 60" xfId="263" xr:uid="{00000000-0005-0000-0000-000022010000}"/>
    <cellStyle name="표준 61" xfId="264" xr:uid="{00000000-0005-0000-0000-000023010000}"/>
    <cellStyle name="표준 62" xfId="265" xr:uid="{00000000-0005-0000-0000-000024010000}"/>
    <cellStyle name="표준 63" xfId="266" xr:uid="{00000000-0005-0000-0000-000025010000}"/>
    <cellStyle name="표준 64" xfId="267" xr:uid="{00000000-0005-0000-0000-000026010000}"/>
    <cellStyle name="표준 65" xfId="268" xr:uid="{00000000-0005-0000-0000-000027010000}"/>
    <cellStyle name="표준 66" xfId="269" xr:uid="{00000000-0005-0000-0000-000028010000}"/>
    <cellStyle name="표준 67" xfId="270" xr:uid="{00000000-0005-0000-0000-000029010000}"/>
    <cellStyle name="표준 68" xfId="271" xr:uid="{00000000-0005-0000-0000-00002A010000}"/>
    <cellStyle name="표준 69" xfId="272" xr:uid="{00000000-0005-0000-0000-00002B010000}"/>
    <cellStyle name="표준 7" xfId="36" xr:uid="{00000000-0005-0000-0000-00002C010000}"/>
    <cellStyle name="표준 7 2" xfId="273" xr:uid="{00000000-0005-0000-0000-00002D010000}"/>
    <cellStyle name="표준 70" xfId="274" xr:uid="{00000000-0005-0000-0000-00002E010000}"/>
    <cellStyle name="표준 71" xfId="275" xr:uid="{00000000-0005-0000-0000-00002F010000}"/>
    <cellStyle name="표준 72" xfId="276" xr:uid="{00000000-0005-0000-0000-000030010000}"/>
    <cellStyle name="표준 73" xfId="277" xr:uid="{00000000-0005-0000-0000-000031010000}"/>
    <cellStyle name="표준 74" xfId="278" xr:uid="{00000000-0005-0000-0000-000032010000}"/>
    <cellStyle name="표준 75" xfId="279" xr:uid="{00000000-0005-0000-0000-000033010000}"/>
    <cellStyle name="표준 76" xfId="280" xr:uid="{00000000-0005-0000-0000-000034010000}"/>
    <cellStyle name="표준 77" xfId="281" xr:uid="{00000000-0005-0000-0000-000035010000}"/>
    <cellStyle name="표준 78" xfId="282" xr:uid="{00000000-0005-0000-0000-000036010000}"/>
    <cellStyle name="표준 79" xfId="283" xr:uid="{00000000-0005-0000-0000-000037010000}"/>
    <cellStyle name="표준 8" xfId="32" xr:uid="{00000000-0005-0000-0000-000038010000}"/>
    <cellStyle name="표준 8 2" xfId="285" xr:uid="{00000000-0005-0000-0000-000039010000}"/>
    <cellStyle name="표준 8 3" xfId="284" xr:uid="{00000000-0005-0000-0000-00003A010000}"/>
    <cellStyle name="표준 80" xfId="286" xr:uid="{00000000-0005-0000-0000-00003B010000}"/>
    <cellStyle name="표준 81" xfId="287" xr:uid="{00000000-0005-0000-0000-00003C010000}"/>
    <cellStyle name="표준 82" xfId="288" xr:uid="{00000000-0005-0000-0000-00003D010000}"/>
    <cellStyle name="표준 83" xfId="289" xr:uid="{00000000-0005-0000-0000-00003E010000}"/>
    <cellStyle name="표준 84" xfId="290" xr:uid="{00000000-0005-0000-0000-00003F010000}"/>
    <cellStyle name="표준 85" xfId="291" xr:uid="{00000000-0005-0000-0000-000040010000}"/>
    <cellStyle name="표준 86" xfId="292" xr:uid="{00000000-0005-0000-0000-000041010000}"/>
    <cellStyle name="표준 87" xfId="293" xr:uid="{00000000-0005-0000-0000-000042010000}"/>
    <cellStyle name="표준 88" xfId="294" xr:uid="{00000000-0005-0000-0000-000043010000}"/>
    <cellStyle name="표준 89" xfId="295" xr:uid="{00000000-0005-0000-0000-000044010000}"/>
    <cellStyle name="표준 9" xfId="296" xr:uid="{00000000-0005-0000-0000-000045010000}"/>
    <cellStyle name="표준 90" xfId="297" xr:uid="{00000000-0005-0000-0000-000046010000}"/>
    <cellStyle name="표준 91" xfId="298" xr:uid="{00000000-0005-0000-0000-000047010000}"/>
    <cellStyle name="표준 92" xfId="299" xr:uid="{00000000-0005-0000-0000-000048010000}"/>
    <cellStyle name="표준 93" xfId="300" xr:uid="{00000000-0005-0000-0000-000049010000}"/>
    <cellStyle name="표준 94" xfId="301" xr:uid="{00000000-0005-0000-0000-00004A010000}"/>
    <cellStyle name="표준 95" xfId="302" xr:uid="{00000000-0005-0000-0000-00004B010000}"/>
    <cellStyle name="표준 96" xfId="303" xr:uid="{00000000-0005-0000-0000-00004C010000}"/>
    <cellStyle name="표준 97" xfId="304" xr:uid="{00000000-0005-0000-0000-00004D010000}"/>
    <cellStyle name="표준 98" xfId="305" xr:uid="{00000000-0005-0000-0000-00004E010000}"/>
    <cellStyle name="표준 99" xfId="306" xr:uid="{00000000-0005-0000-0000-00004F010000}"/>
    <cellStyle name="하이퍼링크" xfId="338" builtinId="8"/>
    <cellStyle name="하이퍼링크 2" xfId="307" xr:uid="{00000000-0005-0000-0000-000050010000}"/>
    <cellStyle name="하이퍼링크 3" xfId="308" xr:uid="{00000000-0005-0000-0000-00005101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.chang@kt.com%20%20%20&#51004;&#47196;%20&#54364;&#44592;%20&#48143;%20&#48156;&#54665;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  <pageSetUpPr fitToPage="1"/>
  </sheetPr>
  <dimension ref="A1:AC147"/>
  <sheetViews>
    <sheetView tabSelected="1" zoomScale="70" zoomScaleNormal="70" workbookViewId="0">
      <pane ySplit="2" topLeftCell="A3" activePane="bottomLeft" state="frozen"/>
      <selection pane="bottomLeft" activeCell="L19" sqref="L19"/>
    </sheetView>
  </sheetViews>
  <sheetFormatPr defaultColWidth="10.125" defaultRowHeight="20.100000000000001" customHeight="1"/>
  <cols>
    <col min="1" max="1" width="7" style="157" customWidth="1"/>
    <col min="2" max="2" width="8.375" style="157" customWidth="1"/>
    <col min="3" max="4" width="12.875" style="48" customWidth="1"/>
    <col min="5" max="5" width="38.625" style="4" customWidth="1"/>
    <col min="6" max="6" width="57.625" style="35" customWidth="1"/>
    <col min="7" max="7" width="11.375" style="35" customWidth="1"/>
    <col min="8" max="8" width="20.75" style="35" customWidth="1"/>
    <col min="9" max="9" width="11.875" style="35" customWidth="1"/>
    <col min="10" max="10" width="15" style="56" customWidth="1"/>
    <col min="11" max="11" width="12.25" style="51" customWidth="1"/>
    <col min="12" max="12" width="24" style="51" customWidth="1"/>
    <col min="13" max="13" width="12.25" style="65" customWidth="1"/>
    <col min="14" max="15" width="15.625" style="35" customWidth="1"/>
    <col min="16" max="16" width="14.5" style="44" customWidth="1"/>
    <col min="17" max="18" width="14.5" style="35" customWidth="1"/>
    <col min="19" max="20" width="10.125" style="35"/>
    <col min="21" max="21" width="10.875" style="35" bestFit="1" customWidth="1"/>
    <col min="22" max="22" width="10.125" style="35"/>
    <col min="23" max="23" width="11.25" style="35" bestFit="1" customWidth="1"/>
    <col min="24" max="16384" width="10.125" style="35"/>
  </cols>
  <sheetData>
    <row r="1" spans="1:29" ht="37.5" customHeight="1" thickBot="1">
      <c r="B1" s="234" t="s">
        <v>906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O1" s="44"/>
      <c r="P1" s="35"/>
    </row>
    <row r="2" spans="1:29" ht="40.5" customHeight="1" thickBot="1">
      <c r="A2" s="158" t="s">
        <v>827</v>
      </c>
      <c r="B2" s="36" t="s">
        <v>0</v>
      </c>
      <c r="C2" s="92" t="s">
        <v>223</v>
      </c>
      <c r="D2" s="92" t="s">
        <v>224</v>
      </c>
      <c r="E2" s="37" t="s">
        <v>1</v>
      </c>
      <c r="F2" s="156" t="s">
        <v>147</v>
      </c>
      <c r="G2" s="37" t="s">
        <v>2</v>
      </c>
      <c r="H2" s="37" t="s">
        <v>3</v>
      </c>
      <c r="I2" s="38" t="s">
        <v>4</v>
      </c>
      <c r="J2" s="155" t="s">
        <v>5</v>
      </c>
      <c r="K2" s="39" t="s">
        <v>6</v>
      </c>
      <c r="L2" s="64" t="s">
        <v>195</v>
      </c>
      <c r="M2" s="103" t="s">
        <v>7</v>
      </c>
      <c r="N2" s="219" t="s">
        <v>230</v>
      </c>
      <c r="O2" s="232" t="s">
        <v>944</v>
      </c>
      <c r="P2" s="232" t="s">
        <v>945</v>
      </c>
      <c r="Q2" s="233" t="s">
        <v>946</v>
      </c>
      <c r="R2" s="1" t="s">
        <v>231</v>
      </c>
      <c r="S2" s="1" t="s">
        <v>135</v>
      </c>
    </row>
    <row r="3" spans="1:29" ht="21" customHeight="1">
      <c r="A3" s="159" t="s">
        <v>828</v>
      </c>
      <c r="B3" s="40">
        <v>1</v>
      </c>
      <c r="C3" s="122">
        <v>46006</v>
      </c>
      <c r="D3" s="122">
        <v>46006</v>
      </c>
      <c r="E3" s="30" t="s">
        <v>225</v>
      </c>
      <c r="F3" s="59" t="s">
        <v>907</v>
      </c>
      <c r="G3" s="41" t="s">
        <v>67</v>
      </c>
      <c r="H3" s="41" t="s">
        <v>8</v>
      </c>
      <c r="I3" s="42">
        <v>6</v>
      </c>
      <c r="J3" s="179">
        <v>150000</v>
      </c>
      <c r="K3" s="43"/>
      <c r="L3" s="115"/>
      <c r="M3" s="104">
        <f t="shared" ref="M3:M35" si="0">J3-K3</f>
        <v>150000</v>
      </c>
      <c r="N3" s="220" t="s">
        <v>226</v>
      </c>
      <c r="O3" s="224">
        <v>150000</v>
      </c>
      <c r="P3" s="216"/>
      <c r="Q3" s="225">
        <f>O3-P3</f>
        <v>150000</v>
      </c>
      <c r="R3" s="44"/>
    </row>
    <row r="4" spans="1:29" ht="21" customHeight="1">
      <c r="A4" s="159" t="s">
        <v>828</v>
      </c>
      <c r="B4" s="40">
        <v>2</v>
      </c>
      <c r="C4" s="122">
        <v>46006</v>
      </c>
      <c r="D4" s="122">
        <v>46006</v>
      </c>
      <c r="E4" s="30" t="s">
        <v>885</v>
      </c>
      <c r="F4" s="59" t="s">
        <v>907</v>
      </c>
      <c r="G4" s="41" t="s">
        <v>68</v>
      </c>
      <c r="H4" s="41" t="s">
        <v>69</v>
      </c>
      <c r="I4" s="42">
        <v>7</v>
      </c>
      <c r="J4" s="179">
        <v>200000</v>
      </c>
      <c r="K4" s="127"/>
      <c r="L4" s="69"/>
      <c r="M4" s="104">
        <f t="shared" si="0"/>
        <v>200000</v>
      </c>
      <c r="N4" s="220" t="s">
        <v>226</v>
      </c>
      <c r="O4" s="224">
        <v>200000</v>
      </c>
      <c r="P4" s="216"/>
      <c r="Q4" s="225">
        <f t="shared" ref="Q4:Q67" si="1">O4-P4</f>
        <v>200000</v>
      </c>
      <c r="R4" s="93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</row>
    <row r="5" spans="1:29" ht="21" customHeight="1">
      <c r="A5" s="159" t="s">
        <v>828</v>
      </c>
      <c r="B5" s="40">
        <v>4</v>
      </c>
      <c r="C5" s="122">
        <v>46006</v>
      </c>
      <c r="D5" s="122">
        <v>46006</v>
      </c>
      <c r="E5" s="66" t="s">
        <v>70</v>
      </c>
      <c r="F5" s="59" t="s">
        <v>907</v>
      </c>
      <c r="G5" s="41" t="s">
        <v>71</v>
      </c>
      <c r="H5" s="41" t="s">
        <v>72</v>
      </c>
      <c r="I5" s="42">
        <v>1</v>
      </c>
      <c r="J5" s="179">
        <f>200000-30000</f>
        <v>170000</v>
      </c>
      <c r="K5" s="127">
        <f>30000-30000*5%-28500</f>
        <v>0</v>
      </c>
      <c r="L5" s="69"/>
      <c r="M5" s="104">
        <f t="shared" si="0"/>
        <v>170000</v>
      </c>
      <c r="N5" s="220" t="s">
        <v>226</v>
      </c>
      <c r="O5" s="224">
        <v>170000</v>
      </c>
      <c r="P5" s="216"/>
      <c r="Q5" s="225">
        <f t="shared" si="1"/>
        <v>170000</v>
      </c>
      <c r="R5" s="183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</row>
    <row r="6" spans="1:29" ht="21" customHeight="1">
      <c r="A6" s="159" t="s">
        <v>828</v>
      </c>
      <c r="B6" s="40">
        <v>5</v>
      </c>
      <c r="C6" s="122">
        <v>46006</v>
      </c>
      <c r="D6" s="122">
        <v>46006</v>
      </c>
      <c r="E6" s="66" t="s">
        <v>73</v>
      </c>
      <c r="F6" s="59" t="s">
        <v>907</v>
      </c>
      <c r="G6" s="41" t="s">
        <v>74</v>
      </c>
      <c r="H6" s="41" t="s">
        <v>75</v>
      </c>
      <c r="I6" s="111" t="s">
        <v>552</v>
      </c>
      <c r="J6" s="179">
        <v>130000</v>
      </c>
      <c r="K6" s="127"/>
      <c r="L6" s="69"/>
      <c r="M6" s="104">
        <f t="shared" si="0"/>
        <v>130000</v>
      </c>
      <c r="N6" s="220" t="s">
        <v>226</v>
      </c>
      <c r="O6" s="224">
        <v>130000</v>
      </c>
      <c r="P6" s="216"/>
      <c r="Q6" s="225">
        <f t="shared" si="1"/>
        <v>130000</v>
      </c>
      <c r="R6" s="93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</row>
    <row r="7" spans="1:29" ht="21" customHeight="1">
      <c r="A7" s="159" t="s">
        <v>828</v>
      </c>
      <c r="B7" s="40">
        <v>6</v>
      </c>
      <c r="C7" s="122">
        <v>46006</v>
      </c>
      <c r="D7" s="122">
        <v>46006</v>
      </c>
      <c r="E7" s="129" t="s">
        <v>29</v>
      </c>
      <c r="F7" s="59" t="s">
        <v>907</v>
      </c>
      <c r="G7" s="125" t="s">
        <v>80</v>
      </c>
      <c r="H7" s="167" t="s">
        <v>81</v>
      </c>
      <c r="I7" s="188" t="s">
        <v>553</v>
      </c>
      <c r="J7" s="181">
        <v>150000</v>
      </c>
      <c r="K7" s="50"/>
      <c r="L7" s="116"/>
      <c r="M7" s="104">
        <f t="shared" si="0"/>
        <v>150000</v>
      </c>
      <c r="N7" s="220" t="s">
        <v>226</v>
      </c>
      <c r="O7" s="224">
        <v>150000</v>
      </c>
      <c r="P7" s="218"/>
      <c r="Q7" s="226">
        <f t="shared" si="1"/>
        <v>150000</v>
      </c>
      <c r="R7" s="93"/>
      <c r="S7" s="99"/>
      <c r="T7" s="98"/>
      <c r="U7" s="98"/>
      <c r="V7" s="98"/>
      <c r="W7" s="98"/>
      <c r="X7" s="98"/>
      <c r="Y7" s="98"/>
      <c r="Z7" s="98"/>
      <c r="AA7" s="98"/>
      <c r="AB7" s="98"/>
      <c r="AC7" s="98"/>
    </row>
    <row r="8" spans="1:29" ht="21" customHeight="1">
      <c r="A8" s="159">
        <v>105</v>
      </c>
      <c r="B8" s="40">
        <v>7</v>
      </c>
      <c r="C8" s="120">
        <v>46006</v>
      </c>
      <c r="D8" s="120">
        <v>46006</v>
      </c>
      <c r="E8" s="30" t="s">
        <v>235</v>
      </c>
      <c r="F8" s="59" t="s">
        <v>907</v>
      </c>
      <c r="G8" s="41" t="s">
        <v>82</v>
      </c>
      <c r="H8" s="17" t="s">
        <v>662</v>
      </c>
      <c r="I8" s="111" t="s">
        <v>663</v>
      </c>
      <c r="J8" s="179">
        <f>200000</f>
        <v>200000</v>
      </c>
      <c r="K8" s="46"/>
      <c r="L8" s="69"/>
      <c r="M8" s="104">
        <f t="shared" si="0"/>
        <v>200000</v>
      </c>
      <c r="N8" s="221" t="s">
        <v>611</v>
      </c>
      <c r="O8" s="224">
        <v>200000</v>
      </c>
      <c r="P8" s="216"/>
      <c r="Q8" s="225">
        <f t="shared" si="1"/>
        <v>200000</v>
      </c>
      <c r="R8" s="93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</row>
    <row r="9" spans="1:29" ht="21" customHeight="1">
      <c r="A9" s="159" t="s">
        <v>828</v>
      </c>
      <c r="B9" s="40">
        <v>8</v>
      </c>
      <c r="C9" s="120">
        <v>45992</v>
      </c>
      <c r="D9" s="120">
        <v>45992</v>
      </c>
      <c r="E9" s="30" t="s">
        <v>18</v>
      </c>
      <c r="F9" s="30" t="s">
        <v>914</v>
      </c>
      <c r="G9" s="17" t="s">
        <v>263</v>
      </c>
      <c r="H9" s="41" t="s">
        <v>85</v>
      </c>
      <c r="I9" s="42">
        <v>1</v>
      </c>
      <c r="J9" s="67">
        <f>350000-50000</f>
        <v>300000</v>
      </c>
      <c r="K9" s="68"/>
      <c r="L9" s="69"/>
      <c r="M9" s="105">
        <f t="shared" si="0"/>
        <v>300000</v>
      </c>
      <c r="N9" s="220" t="s">
        <v>273</v>
      </c>
      <c r="O9" s="224">
        <v>300000</v>
      </c>
      <c r="P9" s="216"/>
      <c r="Q9" s="225">
        <f t="shared" si="1"/>
        <v>300000</v>
      </c>
      <c r="R9" s="93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</row>
    <row r="10" spans="1:29" ht="21" customHeight="1">
      <c r="A10" s="159" t="s">
        <v>828</v>
      </c>
      <c r="B10" s="40">
        <v>9</v>
      </c>
      <c r="C10" s="122">
        <v>46006</v>
      </c>
      <c r="D10" s="122">
        <v>46006</v>
      </c>
      <c r="E10" s="30" t="s">
        <v>545</v>
      </c>
      <c r="F10" s="59" t="s">
        <v>907</v>
      </c>
      <c r="G10" s="41" t="s">
        <v>86</v>
      </c>
      <c r="H10" s="41" t="s">
        <v>87</v>
      </c>
      <c r="I10" s="111" t="s">
        <v>555</v>
      </c>
      <c r="J10" s="179">
        <v>250000</v>
      </c>
      <c r="K10" s="46"/>
      <c r="L10" s="69"/>
      <c r="M10" s="104">
        <f t="shared" si="0"/>
        <v>250000</v>
      </c>
      <c r="N10" s="220" t="s">
        <v>226</v>
      </c>
      <c r="O10" s="224">
        <v>250000</v>
      </c>
      <c r="P10" s="216"/>
      <c r="Q10" s="225">
        <f t="shared" si="1"/>
        <v>250000</v>
      </c>
      <c r="R10" s="93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</row>
    <row r="11" spans="1:29" ht="21" customHeight="1">
      <c r="A11" s="159" t="s">
        <v>828</v>
      </c>
      <c r="B11" s="40">
        <v>10</v>
      </c>
      <c r="C11" s="122">
        <v>46006</v>
      </c>
      <c r="D11" s="122">
        <v>46006</v>
      </c>
      <c r="E11" s="30" t="s">
        <v>237</v>
      </c>
      <c r="F11" s="59" t="s">
        <v>907</v>
      </c>
      <c r="G11" s="41" t="s">
        <v>88</v>
      </c>
      <c r="H11" s="41" t="s">
        <v>89</v>
      </c>
      <c r="I11" s="42">
        <v>11</v>
      </c>
      <c r="J11" s="179">
        <v>150000</v>
      </c>
      <c r="K11" s="49"/>
      <c r="L11" s="69"/>
      <c r="M11" s="104">
        <f t="shared" si="0"/>
        <v>150000</v>
      </c>
      <c r="N11" s="220" t="s">
        <v>226</v>
      </c>
      <c r="O11" s="224">
        <v>150000</v>
      </c>
      <c r="P11" s="216"/>
      <c r="Q11" s="225">
        <f t="shared" si="1"/>
        <v>150000</v>
      </c>
      <c r="R11" s="93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</row>
    <row r="12" spans="1:29" ht="21" customHeight="1">
      <c r="A12" s="159">
        <v>102</v>
      </c>
      <c r="B12" s="40">
        <v>11</v>
      </c>
      <c r="C12" s="120">
        <v>46006</v>
      </c>
      <c r="D12" s="120">
        <v>46006</v>
      </c>
      <c r="E12" s="30" t="s">
        <v>236</v>
      </c>
      <c r="F12" s="59" t="s">
        <v>908</v>
      </c>
      <c r="G12" s="41" t="s">
        <v>83</v>
      </c>
      <c r="H12" s="41" t="s">
        <v>84</v>
      </c>
      <c r="I12" s="42">
        <v>11</v>
      </c>
      <c r="J12" s="179">
        <v>120000</v>
      </c>
      <c r="K12" s="46">
        <v>120000</v>
      </c>
      <c r="L12" s="113">
        <v>46020</v>
      </c>
      <c r="M12" s="104">
        <f t="shared" si="0"/>
        <v>0</v>
      </c>
      <c r="N12" s="221" t="s">
        <v>611</v>
      </c>
      <c r="O12" s="224">
        <v>120000</v>
      </c>
      <c r="P12" s="216">
        <v>120000</v>
      </c>
      <c r="Q12" s="225">
        <f t="shared" si="1"/>
        <v>0</v>
      </c>
      <c r="R12" s="93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</row>
    <row r="13" spans="1:29" ht="21" customHeight="1">
      <c r="A13" s="159" t="s">
        <v>828</v>
      </c>
      <c r="B13" s="40">
        <v>12</v>
      </c>
      <c r="C13" s="122">
        <v>46006</v>
      </c>
      <c r="D13" s="122">
        <v>46006</v>
      </c>
      <c r="E13" s="30" t="s">
        <v>238</v>
      </c>
      <c r="F13" s="59" t="s">
        <v>907</v>
      </c>
      <c r="G13" s="41" t="s">
        <v>90</v>
      </c>
      <c r="H13" s="17" t="s">
        <v>480</v>
      </c>
      <c r="I13" s="111" t="s">
        <v>161</v>
      </c>
      <c r="J13" s="179">
        <v>100000</v>
      </c>
      <c r="K13" s="46"/>
      <c r="L13" s="69"/>
      <c r="M13" s="104">
        <f t="shared" si="0"/>
        <v>100000</v>
      </c>
      <c r="N13" s="220" t="s">
        <v>226</v>
      </c>
      <c r="O13" s="224">
        <v>100000</v>
      </c>
      <c r="P13" s="216"/>
      <c r="Q13" s="225">
        <f t="shared" si="1"/>
        <v>100000</v>
      </c>
      <c r="R13" s="93"/>
      <c r="S13" s="93"/>
      <c r="T13" s="100"/>
      <c r="U13" s="98"/>
      <c r="V13" s="98"/>
      <c r="W13" s="98"/>
      <c r="X13" s="98"/>
      <c r="Y13" s="98"/>
      <c r="Z13" s="98"/>
      <c r="AA13" s="98"/>
      <c r="AB13" s="98"/>
      <c r="AC13" s="98"/>
    </row>
    <row r="14" spans="1:29" ht="21" customHeight="1">
      <c r="A14" s="159" t="s">
        <v>828</v>
      </c>
      <c r="B14" s="40">
        <v>13</v>
      </c>
      <c r="C14" s="122">
        <v>46006</v>
      </c>
      <c r="D14" s="122">
        <v>46006</v>
      </c>
      <c r="E14" s="30" t="s">
        <v>239</v>
      </c>
      <c r="F14" s="59" t="s">
        <v>907</v>
      </c>
      <c r="G14" s="41" t="s">
        <v>91</v>
      </c>
      <c r="H14" s="41" t="s">
        <v>92</v>
      </c>
      <c r="I14" s="111" t="s">
        <v>160</v>
      </c>
      <c r="J14" s="179">
        <f>170000+160000</f>
        <v>330000</v>
      </c>
      <c r="K14" s="46"/>
      <c r="L14" s="69"/>
      <c r="M14" s="104">
        <f t="shared" si="0"/>
        <v>330000</v>
      </c>
      <c r="N14" s="220" t="s">
        <v>226</v>
      </c>
      <c r="O14" s="224">
        <v>330000</v>
      </c>
      <c r="P14" s="216"/>
      <c r="Q14" s="225">
        <f t="shared" si="1"/>
        <v>330000</v>
      </c>
      <c r="R14" s="95"/>
      <c r="S14" s="93"/>
      <c r="T14" s="100"/>
      <c r="U14" s="98"/>
      <c r="V14" s="98"/>
      <c r="W14" s="98"/>
      <c r="X14" s="98"/>
      <c r="Y14" s="98"/>
      <c r="Z14" s="98"/>
      <c r="AA14" s="98"/>
      <c r="AB14" s="98"/>
      <c r="AC14" s="98"/>
    </row>
    <row r="15" spans="1:29" ht="21" customHeight="1">
      <c r="A15" s="159" t="s">
        <v>828</v>
      </c>
      <c r="B15" s="40">
        <v>14</v>
      </c>
      <c r="C15" s="120">
        <v>45992</v>
      </c>
      <c r="D15" s="120">
        <v>45992</v>
      </c>
      <c r="E15" s="30" t="s">
        <v>41</v>
      </c>
      <c r="F15" s="59" t="s">
        <v>907</v>
      </c>
      <c r="G15" s="41" t="s">
        <v>96</v>
      </c>
      <c r="H15" s="41" t="s">
        <v>97</v>
      </c>
      <c r="I15" s="111" t="s">
        <v>557</v>
      </c>
      <c r="J15" s="70">
        <v>100000</v>
      </c>
      <c r="K15" s="46"/>
      <c r="L15" s="69"/>
      <c r="M15" s="104">
        <f t="shared" si="0"/>
        <v>100000</v>
      </c>
      <c r="N15" s="220" t="s">
        <v>273</v>
      </c>
      <c r="O15" s="224">
        <v>100000</v>
      </c>
      <c r="P15" s="216"/>
      <c r="Q15" s="225">
        <f t="shared" si="1"/>
        <v>100000</v>
      </c>
      <c r="R15" s="123"/>
      <c r="S15" s="93"/>
      <c r="T15" s="100"/>
      <c r="U15" s="98"/>
      <c r="V15" s="98"/>
      <c r="W15" s="98"/>
      <c r="X15" s="98"/>
      <c r="Y15" s="98"/>
      <c r="Z15" s="98"/>
      <c r="AA15" s="98"/>
      <c r="AB15" s="98"/>
      <c r="AC15" s="98"/>
    </row>
    <row r="16" spans="1:29" ht="21" customHeight="1">
      <c r="A16" s="159" t="s">
        <v>828</v>
      </c>
      <c r="B16" s="40">
        <v>15</v>
      </c>
      <c r="C16" s="122">
        <v>46006</v>
      </c>
      <c r="D16" s="122">
        <v>46006</v>
      </c>
      <c r="E16" s="30" t="s">
        <v>25</v>
      </c>
      <c r="F16" s="59" t="s">
        <v>907</v>
      </c>
      <c r="G16" s="41" t="s">
        <v>98</v>
      </c>
      <c r="H16" s="41" t="s">
        <v>99</v>
      </c>
      <c r="I16" s="111" t="s">
        <v>559</v>
      </c>
      <c r="J16" s="179">
        <v>500000</v>
      </c>
      <c r="K16" s="46"/>
      <c r="L16" s="69"/>
      <c r="M16" s="104">
        <f t="shared" si="0"/>
        <v>500000</v>
      </c>
      <c r="N16" s="220" t="s">
        <v>226</v>
      </c>
      <c r="O16" s="224">
        <v>500000</v>
      </c>
      <c r="P16" s="216"/>
      <c r="Q16" s="225">
        <f t="shared" si="1"/>
        <v>500000</v>
      </c>
      <c r="R16" s="197" t="s">
        <v>793</v>
      </c>
      <c r="S16" s="93"/>
      <c r="T16" s="100"/>
      <c r="U16" s="98"/>
      <c r="V16" s="98"/>
      <c r="W16" s="98"/>
      <c r="X16" s="98"/>
      <c r="Y16" s="98"/>
      <c r="Z16" s="98"/>
      <c r="AA16" s="98"/>
      <c r="AB16" s="98"/>
      <c r="AC16" s="98"/>
    </row>
    <row r="17" spans="1:29" ht="21" customHeight="1">
      <c r="A17" s="159" t="s">
        <v>828</v>
      </c>
      <c r="B17" s="40">
        <v>16</v>
      </c>
      <c r="C17" s="122">
        <v>46006</v>
      </c>
      <c r="D17" s="122">
        <v>46006</v>
      </c>
      <c r="E17" s="30" t="s">
        <v>241</v>
      </c>
      <c r="F17" s="59" t="s">
        <v>907</v>
      </c>
      <c r="G17" s="41" t="s">
        <v>100</v>
      </c>
      <c r="H17" s="41" t="s">
        <v>101</v>
      </c>
      <c r="I17" s="111" t="s">
        <v>561</v>
      </c>
      <c r="J17" s="179">
        <v>100000</v>
      </c>
      <c r="K17" s="46"/>
      <c r="L17" s="69"/>
      <c r="M17" s="104">
        <f t="shared" si="0"/>
        <v>100000</v>
      </c>
      <c r="N17" s="220" t="s">
        <v>226</v>
      </c>
      <c r="O17" s="224">
        <v>100000</v>
      </c>
      <c r="P17" s="216"/>
      <c r="Q17" s="225">
        <f t="shared" si="1"/>
        <v>100000</v>
      </c>
      <c r="R17" s="93"/>
      <c r="S17" s="93"/>
      <c r="T17" s="100"/>
      <c r="U17" s="98"/>
      <c r="V17" s="98"/>
      <c r="W17" s="98"/>
      <c r="X17" s="98"/>
      <c r="Y17" s="98"/>
      <c r="Z17" s="98"/>
      <c r="AA17" s="98"/>
      <c r="AB17" s="98"/>
      <c r="AC17" s="98"/>
    </row>
    <row r="18" spans="1:29" ht="21" customHeight="1">
      <c r="A18" s="159" t="s">
        <v>828</v>
      </c>
      <c r="B18" s="40">
        <v>17</v>
      </c>
      <c r="C18" s="122">
        <v>46006</v>
      </c>
      <c r="D18" s="122">
        <v>46006</v>
      </c>
      <c r="E18" s="30" t="s">
        <v>242</v>
      </c>
      <c r="F18" s="59" t="s">
        <v>907</v>
      </c>
      <c r="G18" s="41" t="s">
        <v>102</v>
      </c>
      <c r="H18" s="41" t="s">
        <v>103</v>
      </c>
      <c r="I18" s="111" t="s">
        <v>561</v>
      </c>
      <c r="J18" s="179">
        <v>200000</v>
      </c>
      <c r="K18" s="46"/>
      <c r="L18" s="69"/>
      <c r="M18" s="104">
        <f t="shared" si="0"/>
        <v>200000</v>
      </c>
      <c r="N18" s="220" t="s">
        <v>226</v>
      </c>
      <c r="O18" s="224">
        <v>200000</v>
      </c>
      <c r="P18" s="216"/>
      <c r="Q18" s="225">
        <f t="shared" si="1"/>
        <v>200000</v>
      </c>
      <c r="R18" s="93"/>
      <c r="S18" s="93"/>
      <c r="T18" s="100"/>
      <c r="U18" s="98"/>
      <c r="V18" s="98"/>
      <c r="W18" s="98"/>
      <c r="X18" s="98"/>
      <c r="Y18" s="98"/>
      <c r="Z18" s="98"/>
      <c r="AA18" s="98"/>
      <c r="AB18" s="98"/>
      <c r="AC18" s="98"/>
    </row>
    <row r="19" spans="1:29" ht="21" customHeight="1">
      <c r="A19" s="159" t="s">
        <v>828</v>
      </c>
      <c r="B19" s="40">
        <v>18</v>
      </c>
      <c r="C19" s="122">
        <v>46006</v>
      </c>
      <c r="D19" s="122">
        <v>46006</v>
      </c>
      <c r="E19" s="30" t="s">
        <v>42</v>
      </c>
      <c r="F19" s="59" t="s">
        <v>907</v>
      </c>
      <c r="G19" s="41" t="s">
        <v>104</v>
      </c>
      <c r="H19" s="41" t="s">
        <v>105</v>
      </c>
      <c r="I19" s="111" t="s">
        <v>557</v>
      </c>
      <c r="J19" s="179">
        <v>1000000</v>
      </c>
      <c r="K19" s="68">
        <v>100000</v>
      </c>
      <c r="L19" s="113">
        <v>46020</v>
      </c>
      <c r="M19" s="104">
        <f t="shared" si="0"/>
        <v>900000</v>
      </c>
      <c r="N19" s="220" t="s">
        <v>226</v>
      </c>
      <c r="O19" s="224">
        <v>1000000</v>
      </c>
      <c r="P19" s="216">
        <v>100000</v>
      </c>
      <c r="Q19" s="225">
        <f t="shared" si="1"/>
        <v>900000</v>
      </c>
      <c r="R19" s="93" t="s">
        <v>740</v>
      </c>
      <c r="S19" s="93"/>
      <c r="T19" s="100"/>
      <c r="U19" s="98"/>
      <c r="V19" s="98"/>
      <c r="W19" s="98"/>
      <c r="X19" s="98"/>
      <c r="Y19" s="98"/>
      <c r="Z19" s="98"/>
      <c r="AA19" s="98"/>
      <c r="AB19" s="98"/>
      <c r="AC19" s="98"/>
    </row>
    <row r="20" spans="1:29" ht="21" customHeight="1">
      <c r="A20" s="159" t="s">
        <v>828</v>
      </c>
      <c r="B20" s="40">
        <v>19</v>
      </c>
      <c r="C20" s="122">
        <v>46006</v>
      </c>
      <c r="D20" s="122">
        <v>46006</v>
      </c>
      <c r="E20" s="59" t="s">
        <v>243</v>
      </c>
      <c r="F20" s="59" t="s">
        <v>907</v>
      </c>
      <c r="G20" s="126" t="s">
        <v>106</v>
      </c>
      <c r="H20" s="126" t="s">
        <v>107</v>
      </c>
      <c r="I20" s="189" t="s">
        <v>160</v>
      </c>
      <c r="J20" s="179">
        <v>290000</v>
      </c>
      <c r="K20" s="46"/>
      <c r="L20" s="69"/>
      <c r="M20" s="104">
        <f t="shared" si="0"/>
        <v>290000</v>
      </c>
      <c r="N20" s="220" t="s">
        <v>226</v>
      </c>
      <c r="O20" s="224">
        <v>290000</v>
      </c>
      <c r="P20" s="216"/>
      <c r="Q20" s="225">
        <f t="shared" si="1"/>
        <v>290000</v>
      </c>
      <c r="R20" s="93"/>
      <c r="S20" s="93"/>
      <c r="T20" s="100"/>
      <c r="U20" s="98"/>
      <c r="V20" s="98"/>
      <c r="W20" s="98"/>
      <c r="X20" s="98"/>
      <c r="Y20" s="98"/>
      <c r="Z20" s="98"/>
      <c r="AA20" s="98"/>
      <c r="AB20" s="98"/>
      <c r="AC20" s="98"/>
    </row>
    <row r="21" spans="1:29" ht="21" customHeight="1">
      <c r="A21" s="159" t="s">
        <v>828</v>
      </c>
      <c r="B21" s="40">
        <v>20</v>
      </c>
      <c r="C21" s="122">
        <v>46006</v>
      </c>
      <c r="D21" s="122">
        <v>46006</v>
      </c>
      <c r="E21" s="30" t="s">
        <v>598</v>
      </c>
      <c r="F21" s="59" t="s">
        <v>907</v>
      </c>
      <c r="G21" s="41" t="s">
        <v>108</v>
      </c>
      <c r="H21" s="41" t="s">
        <v>109</v>
      </c>
      <c r="I21" s="111" t="s">
        <v>160</v>
      </c>
      <c r="J21" s="179">
        <v>100000</v>
      </c>
      <c r="K21" s="46"/>
      <c r="L21" s="69"/>
      <c r="M21" s="104">
        <f t="shared" si="0"/>
        <v>100000</v>
      </c>
      <c r="N21" s="220" t="s">
        <v>226</v>
      </c>
      <c r="O21" s="224">
        <v>100000</v>
      </c>
      <c r="P21" s="216"/>
      <c r="Q21" s="225">
        <f t="shared" si="1"/>
        <v>100000</v>
      </c>
      <c r="R21" s="93"/>
      <c r="S21" s="93"/>
      <c r="T21" s="98"/>
      <c r="U21" s="98"/>
      <c r="V21" s="98"/>
      <c r="W21" s="98"/>
      <c r="X21" s="98"/>
      <c r="Y21" s="98"/>
      <c r="Z21" s="98"/>
      <c r="AA21" s="98"/>
      <c r="AB21" s="98"/>
      <c r="AC21" s="98"/>
    </row>
    <row r="22" spans="1:29" ht="21" customHeight="1">
      <c r="A22" s="159" t="s">
        <v>828</v>
      </c>
      <c r="B22" s="40">
        <v>21</v>
      </c>
      <c r="C22" s="122">
        <v>46006</v>
      </c>
      <c r="D22" s="122">
        <v>46006</v>
      </c>
      <c r="E22" s="30" t="s">
        <v>476</v>
      </c>
      <c r="F22" s="59" t="s">
        <v>907</v>
      </c>
      <c r="G22" s="41" t="s">
        <v>112</v>
      </c>
      <c r="H22" s="41" t="s">
        <v>113</v>
      </c>
      <c r="I22" s="190" t="s">
        <v>553</v>
      </c>
      <c r="J22" s="179">
        <v>300000</v>
      </c>
      <c r="K22" s="68"/>
      <c r="L22" s="69"/>
      <c r="M22" s="104">
        <f t="shared" si="0"/>
        <v>300000</v>
      </c>
      <c r="N22" s="220" t="s">
        <v>226</v>
      </c>
      <c r="O22" s="224">
        <v>300000</v>
      </c>
      <c r="P22" s="216"/>
      <c r="Q22" s="225">
        <f t="shared" si="1"/>
        <v>300000</v>
      </c>
      <c r="R22" s="93"/>
      <c r="S22" s="93"/>
      <c r="T22" s="100"/>
      <c r="U22" s="100"/>
      <c r="V22" s="100"/>
      <c r="W22" s="98"/>
      <c r="X22" s="98"/>
      <c r="Y22" s="98"/>
      <c r="Z22" s="98"/>
      <c r="AA22" s="98"/>
      <c r="AB22" s="98"/>
      <c r="AC22" s="98"/>
    </row>
    <row r="23" spans="1:29" s="1" customFormat="1" ht="21" customHeight="1">
      <c r="A23" s="159" t="s">
        <v>828</v>
      </c>
      <c r="B23" s="40">
        <v>22</v>
      </c>
      <c r="C23" s="122">
        <v>46006</v>
      </c>
      <c r="D23" s="122">
        <v>46006</v>
      </c>
      <c r="E23" s="30" t="s">
        <v>476</v>
      </c>
      <c r="F23" s="59" t="s">
        <v>907</v>
      </c>
      <c r="G23" s="61" t="s">
        <v>725</v>
      </c>
      <c r="H23" s="17" t="s">
        <v>726</v>
      </c>
      <c r="I23" s="70" t="s">
        <v>619</v>
      </c>
      <c r="J23" s="70">
        <v>200000</v>
      </c>
      <c r="K23" s="114"/>
      <c r="L23" s="69"/>
      <c r="M23" s="104">
        <f>J23-K23</f>
        <v>200000</v>
      </c>
      <c r="N23" s="221" t="s">
        <v>226</v>
      </c>
      <c r="O23" s="70">
        <v>200000</v>
      </c>
      <c r="P23" s="70"/>
      <c r="Q23" s="227">
        <f t="shared" si="1"/>
        <v>200000</v>
      </c>
      <c r="R23" s="93"/>
      <c r="S23" s="93"/>
      <c r="T23" s="94"/>
      <c r="U23" s="98"/>
      <c r="V23" s="100"/>
      <c r="W23" s="98"/>
      <c r="X23" s="98"/>
      <c r="Y23" s="98"/>
      <c r="Z23" s="98"/>
      <c r="AA23" s="98"/>
      <c r="AB23" s="98"/>
      <c r="AC23" s="98"/>
    </row>
    <row r="24" spans="1:29" ht="21" customHeight="1">
      <c r="A24" s="159" t="s">
        <v>828</v>
      </c>
      <c r="B24" s="40">
        <v>23</v>
      </c>
      <c r="C24" s="122">
        <v>46006</v>
      </c>
      <c r="D24" s="122">
        <v>46006</v>
      </c>
      <c r="E24" s="30" t="s">
        <v>244</v>
      </c>
      <c r="F24" s="59" t="s">
        <v>907</v>
      </c>
      <c r="G24" s="41" t="s">
        <v>114</v>
      </c>
      <c r="H24" s="41" t="s">
        <v>115</v>
      </c>
      <c r="I24" s="190" t="s">
        <v>559</v>
      </c>
      <c r="J24" s="179">
        <v>100000</v>
      </c>
      <c r="K24" s="68"/>
      <c r="L24" s="69"/>
      <c r="M24" s="104">
        <f t="shared" si="0"/>
        <v>100000</v>
      </c>
      <c r="N24" s="220" t="s">
        <v>226</v>
      </c>
      <c r="O24" s="224">
        <v>100000</v>
      </c>
      <c r="P24" s="218"/>
      <c r="Q24" s="225">
        <f t="shared" si="1"/>
        <v>100000</v>
      </c>
      <c r="R24" s="93"/>
      <c r="S24" s="96"/>
      <c r="T24" s="100"/>
      <c r="U24" s="100"/>
      <c r="V24" s="100"/>
      <c r="W24" s="98"/>
      <c r="X24" s="98"/>
      <c r="Y24" s="98"/>
      <c r="Z24" s="98"/>
      <c r="AA24" s="98"/>
      <c r="AB24" s="98"/>
      <c r="AC24" s="98"/>
    </row>
    <row r="25" spans="1:29" ht="21" customHeight="1">
      <c r="A25" s="159">
        <v>106</v>
      </c>
      <c r="B25" s="40">
        <v>24</v>
      </c>
      <c r="C25" s="120">
        <v>46006</v>
      </c>
      <c r="D25" s="120">
        <v>46009</v>
      </c>
      <c r="E25" s="30" t="s">
        <v>688</v>
      </c>
      <c r="F25" s="119" t="s">
        <v>913</v>
      </c>
      <c r="G25" s="41" t="s">
        <v>120</v>
      </c>
      <c r="H25" s="17" t="s">
        <v>897</v>
      </c>
      <c r="I25" s="19" t="s">
        <v>111</v>
      </c>
      <c r="J25" s="67">
        <v>46660000</v>
      </c>
      <c r="K25" s="208">
        <f>3420000+3080000+500000+450000+700000+2000000+840000+10000000</f>
        <v>20990000</v>
      </c>
      <c r="L25" s="128" t="s">
        <v>942</v>
      </c>
      <c r="M25" s="105">
        <f t="shared" si="0"/>
        <v>25670000</v>
      </c>
      <c r="N25" s="220" t="s">
        <v>199</v>
      </c>
      <c r="O25" s="228">
        <v>46660000</v>
      </c>
      <c r="P25" s="114">
        <f>3420000+3080000+500000+450000+700000+2000000+840000+10000000</f>
        <v>20990000</v>
      </c>
      <c r="Q25" s="229">
        <f t="shared" si="1"/>
        <v>25670000</v>
      </c>
      <c r="R25" s="44"/>
      <c r="S25" s="96"/>
      <c r="T25" s="100"/>
      <c r="U25" s="100"/>
      <c r="V25" s="100"/>
      <c r="W25" s="98"/>
      <c r="X25" s="99"/>
      <c r="Y25" s="101"/>
      <c r="Z25" s="98"/>
      <c r="AA25" s="98"/>
      <c r="AB25" s="98"/>
      <c r="AC25" s="98"/>
    </row>
    <row r="26" spans="1:29" ht="21" customHeight="1">
      <c r="A26" s="159" t="s">
        <v>828</v>
      </c>
      <c r="B26" s="40">
        <v>25</v>
      </c>
      <c r="C26" s="122">
        <v>46006</v>
      </c>
      <c r="D26" s="122">
        <v>46006</v>
      </c>
      <c r="E26" s="30" t="s">
        <v>547</v>
      </c>
      <c r="F26" s="59" t="s">
        <v>907</v>
      </c>
      <c r="G26" s="41" t="s">
        <v>116</v>
      </c>
      <c r="H26" s="41" t="s">
        <v>117</v>
      </c>
      <c r="I26" s="190" t="s">
        <v>557</v>
      </c>
      <c r="J26" s="179">
        <v>250000</v>
      </c>
      <c r="K26" s="68"/>
      <c r="L26" s="69"/>
      <c r="M26" s="104">
        <f t="shared" si="0"/>
        <v>250000</v>
      </c>
      <c r="N26" s="220" t="s">
        <v>226</v>
      </c>
      <c r="O26" s="224">
        <v>250000</v>
      </c>
      <c r="P26" s="216"/>
      <c r="Q26" s="225">
        <f t="shared" si="1"/>
        <v>250000</v>
      </c>
      <c r="R26" s="93"/>
      <c r="S26" s="96"/>
      <c r="T26" s="100"/>
      <c r="U26" s="100"/>
      <c r="V26" s="100"/>
      <c r="W26" s="98"/>
      <c r="X26" s="98"/>
      <c r="Y26" s="98"/>
      <c r="Z26" s="98"/>
      <c r="AA26" s="98"/>
      <c r="AB26" s="98"/>
      <c r="AC26" s="98"/>
    </row>
    <row r="27" spans="1:29" ht="21" customHeight="1">
      <c r="A27" s="159" t="s">
        <v>828</v>
      </c>
      <c r="B27" s="40">
        <v>26</v>
      </c>
      <c r="C27" s="122">
        <v>46006</v>
      </c>
      <c r="D27" s="122">
        <v>46006</v>
      </c>
      <c r="E27" s="30" t="s">
        <v>495</v>
      </c>
      <c r="F27" s="59" t="s">
        <v>907</v>
      </c>
      <c r="G27" s="41" t="s">
        <v>119</v>
      </c>
      <c r="H27" s="17" t="s">
        <v>660</v>
      </c>
      <c r="I27" s="190" t="s">
        <v>557</v>
      </c>
      <c r="J27" s="179">
        <f>300000</f>
        <v>300000</v>
      </c>
      <c r="K27" s="68"/>
      <c r="L27" s="69"/>
      <c r="M27" s="104">
        <f t="shared" si="0"/>
        <v>300000</v>
      </c>
      <c r="N27" s="220" t="s">
        <v>226</v>
      </c>
      <c r="O27" s="224">
        <v>300000</v>
      </c>
      <c r="P27" s="216"/>
      <c r="Q27" s="225">
        <f t="shared" si="1"/>
        <v>300000</v>
      </c>
      <c r="R27" s="93"/>
      <c r="S27" s="96"/>
      <c r="T27" s="100"/>
      <c r="U27" s="100"/>
      <c r="V27" s="100"/>
      <c r="W27" s="98"/>
      <c r="X27" s="98"/>
      <c r="Y27" s="98"/>
      <c r="Z27" s="98"/>
      <c r="AA27" s="98"/>
      <c r="AB27" s="98"/>
      <c r="AC27" s="98"/>
    </row>
    <row r="28" spans="1:29" ht="21" customHeight="1">
      <c r="A28" s="159" t="s">
        <v>828</v>
      </c>
      <c r="B28" s="40">
        <v>27</v>
      </c>
      <c r="C28" s="122">
        <v>46006</v>
      </c>
      <c r="D28" s="122">
        <v>46006</v>
      </c>
      <c r="E28" s="30" t="s">
        <v>246</v>
      </c>
      <c r="F28" s="59" t="s">
        <v>907</v>
      </c>
      <c r="G28" s="41" t="s">
        <v>121</v>
      </c>
      <c r="H28" s="41" t="s">
        <v>122</v>
      </c>
      <c r="I28" s="190" t="s">
        <v>563</v>
      </c>
      <c r="J28" s="179">
        <v>100000</v>
      </c>
      <c r="K28" s="68"/>
      <c r="L28" s="69"/>
      <c r="M28" s="104">
        <f t="shared" si="0"/>
        <v>100000</v>
      </c>
      <c r="N28" s="220" t="s">
        <v>226</v>
      </c>
      <c r="O28" s="224">
        <v>100000</v>
      </c>
      <c r="P28" s="216"/>
      <c r="Q28" s="225">
        <f t="shared" si="1"/>
        <v>100000</v>
      </c>
      <c r="R28" s="184"/>
      <c r="S28" s="96"/>
      <c r="T28" s="100"/>
      <c r="U28" s="100"/>
      <c r="V28" s="100"/>
      <c r="W28" s="98"/>
      <c r="X28" s="99"/>
      <c r="Y28" s="101"/>
      <c r="Z28" s="98"/>
      <c r="AA28" s="98"/>
      <c r="AB28" s="98"/>
      <c r="AC28" s="98"/>
    </row>
    <row r="29" spans="1:29" ht="21" customHeight="1">
      <c r="A29" s="159" t="s">
        <v>828</v>
      </c>
      <c r="B29" s="40">
        <v>28</v>
      </c>
      <c r="C29" s="122">
        <v>46006</v>
      </c>
      <c r="D29" s="122">
        <v>46006</v>
      </c>
      <c r="E29" s="30" t="s">
        <v>180</v>
      </c>
      <c r="F29" s="30" t="s">
        <v>907</v>
      </c>
      <c r="G29" s="163">
        <v>42031</v>
      </c>
      <c r="H29" s="17" t="s">
        <v>218</v>
      </c>
      <c r="I29" s="190" t="s">
        <v>565</v>
      </c>
      <c r="J29" s="179">
        <f>500000-20000-430000</f>
        <v>50000</v>
      </c>
      <c r="K29" s="68"/>
      <c r="L29" s="69"/>
      <c r="M29" s="104">
        <f t="shared" si="0"/>
        <v>50000</v>
      </c>
      <c r="N29" s="220" t="s">
        <v>226</v>
      </c>
      <c r="O29" s="224">
        <v>50000</v>
      </c>
      <c r="P29" s="216"/>
      <c r="Q29" s="225">
        <f t="shared" si="1"/>
        <v>50000</v>
      </c>
      <c r="R29" s="93"/>
      <c r="S29" s="96"/>
      <c r="T29" s="100"/>
      <c r="U29" s="100"/>
      <c r="V29" s="100"/>
      <c r="W29" s="98"/>
      <c r="X29" s="99"/>
      <c r="Y29" s="101"/>
      <c r="Z29" s="98"/>
      <c r="AA29" s="98"/>
      <c r="AB29" s="98"/>
      <c r="AC29" s="98"/>
    </row>
    <row r="30" spans="1:29" ht="21" customHeight="1">
      <c r="A30" s="159" t="s">
        <v>828</v>
      </c>
      <c r="B30" s="40">
        <v>29</v>
      </c>
      <c r="C30" s="122">
        <v>46006</v>
      </c>
      <c r="D30" s="122">
        <v>46006</v>
      </c>
      <c r="E30" s="30" t="s">
        <v>247</v>
      </c>
      <c r="F30" s="59" t="s">
        <v>907</v>
      </c>
      <c r="G30" s="41" t="s">
        <v>123</v>
      </c>
      <c r="H30" s="41" t="s">
        <v>124</v>
      </c>
      <c r="I30" s="190" t="s">
        <v>561</v>
      </c>
      <c r="J30" s="179">
        <f>600000-100000</f>
        <v>500000</v>
      </c>
      <c r="K30" s="68"/>
      <c r="L30" s="69"/>
      <c r="M30" s="104">
        <f t="shared" si="0"/>
        <v>500000</v>
      </c>
      <c r="N30" s="220" t="s">
        <v>226</v>
      </c>
      <c r="O30" s="224">
        <v>500000</v>
      </c>
      <c r="P30" s="216"/>
      <c r="Q30" s="225">
        <f t="shared" si="1"/>
        <v>500000</v>
      </c>
      <c r="R30" s="93"/>
      <c r="S30" s="93"/>
      <c r="T30" s="102"/>
      <c r="U30" s="98"/>
      <c r="V30" s="100"/>
      <c r="W30" s="98"/>
      <c r="X30" s="99"/>
      <c r="Y30" s="101"/>
      <c r="Z30" s="98"/>
      <c r="AA30" s="98"/>
      <c r="AB30" s="98"/>
      <c r="AC30" s="98"/>
    </row>
    <row r="31" spans="1:29" ht="21" customHeight="1">
      <c r="A31" s="159" t="s">
        <v>828</v>
      </c>
      <c r="B31" s="40">
        <v>30</v>
      </c>
      <c r="C31" s="122">
        <v>46006</v>
      </c>
      <c r="D31" s="122">
        <v>46006</v>
      </c>
      <c r="E31" s="30" t="s">
        <v>248</v>
      </c>
      <c r="F31" s="59" t="s">
        <v>907</v>
      </c>
      <c r="G31" s="163">
        <v>42109</v>
      </c>
      <c r="H31" s="41"/>
      <c r="I31" s="72"/>
      <c r="J31" s="179">
        <v>170000</v>
      </c>
      <c r="K31" s="68"/>
      <c r="L31" s="69"/>
      <c r="M31" s="104">
        <f t="shared" si="0"/>
        <v>170000</v>
      </c>
      <c r="N31" s="220" t="s">
        <v>226</v>
      </c>
      <c r="O31" s="230">
        <v>170000</v>
      </c>
      <c r="P31" s="217"/>
      <c r="Q31" s="231">
        <f t="shared" si="1"/>
        <v>170000</v>
      </c>
      <c r="R31" s="95"/>
      <c r="S31" s="93"/>
      <c r="T31" s="102"/>
      <c r="U31" s="98"/>
      <c r="V31" s="100"/>
      <c r="W31" s="98"/>
      <c r="X31" s="99"/>
      <c r="Y31" s="101"/>
      <c r="Z31" s="98"/>
      <c r="AA31" s="98"/>
      <c r="AB31" s="98"/>
      <c r="AC31" s="98"/>
    </row>
    <row r="32" spans="1:29" s="1" customFormat="1" ht="21" customHeight="1">
      <c r="A32" s="212">
        <v>105</v>
      </c>
      <c r="B32" s="2">
        <v>132</v>
      </c>
      <c r="C32" s="122">
        <v>46371</v>
      </c>
      <c r="D32" s="122">
        <v>46028</v>
      </c>
      <c r="E32" s="30" t="s">
        <v>248</v>
      </c>
      <c r="F32" s="59" t="s">
        <v>202</v>
      </c>
      <c r="G32" s="61" t="s">
        <v>918</v>
      </c>
      <c r="H32" s="17" t="s">
        <v>902</v>
      </c>
      <c r="I32" s="70" t="s">
        <v>161</v>
      </c>
      <c r="J32" s="70">
        <f>300000</f>
        <v>300000</v>
      </c>
      <c r="K32" s="114"/>
      <c r="L32" s="113"/>
      <c r="M32" s="177">
        <f>J32-K32</f>
        <v>300000</v>
      </c>
      <c r="N32" s="221" t="s">
        <v>226</v>
      </c>
      <c r="O32" s="70">
        <v>300000</v>
      </c>
      <c r="P32" s="70"/>
      <c r="Q32" s="227">
        <f t="shared" si="1"/>
        <v>300000</v>
      </c>
      <c r="R32" s="93"/>
      <c r="S32" s="93"/>
      <c r="T32" s="94"/>
      <c r="U32" s="98"/>
      <c r="V32" s="100"/>
      <c r="W32" s="98"/>
      <c r="X32" s="98"/>
      <c r="Y32" s="98"/>
      <c r="Z32" s="98"/>
      <c r="AA32" s="98"/>
      <c r="AB32" s="98"/>
      <c r="AC32" s="98"/>
    </row>
    <row r="33" spans="1:29" ht="21" customHeight="1">
      <c r="A33" s="159" t="s">
        <v>828</v>
      </c>
      <c r="B33" s="40">
        <v>31</v>
      </c>
      <c r="C33" s="122">
        <v>45996</v>
      </c>
      <c r="D33" s="122">
        <v>45996</v>
      </c>
      <c r="E33" s="170" t="s">
        <v>125</v>
      </c>
      <c r="F33" s="171" t="s">
        <v>907</v>
      </c>
      <c r="G33" s="172" t="s">
        <v>126</v>
      </c>
      <c r="H33" s="173" t="s">
        <v>232</v>
      </c>
      <c r="I33" s="191" t="s">
        <v>557</v>
      </c>
      <c r="J33" s="180">
        <f>600000-50000</f>
        <v>550000</v>
      </c>
      <c r="K33" s="68">
        <v>0</v>
      </c>
      <c r="L33" s="113"/>
      <c r="M33" s="104">
        <f t="shared" si="0"/>
        <v>550000</v>
      </c>
      <c r="N33" s="220" t="s">
        <v>139</v>
      </c>
      <c r="O33" s="224">
        <v>550000</v>
      </c>
      <c r="P33" s="216"/>
      <c r="Q33" s="225">
        <f t="shared" si="1"/>
        <v>550000</v>
      </c>
      <c r="R33" s="95" t="s">
        <v>517</v>
      </c>
      <c r="S33" s="168"/>
      <c r="T33" s="168"/>
      <c r="U33" s="168"/>
      <c r="V33" s="100"/>
      <c r="W33" s="98"/>
      <c r="X33" s="98"/>
      <c r="Y33" s="98"/>
      <c r="Z33" s="98"/>
      <c r="AA33" s="98"/>
      <c r="AB33" s="98"/>
      <c r="AC33" s="98"/>
    </row>
    <row r="34" spans="1:29" ht="21" customHeight="1">
      <c r="A34" s="159" t="s">
        <v>828</v>
      </c>
      <c r="B34" s="40">
        <v>32</v>
      </c>
      <c r="C34" s="122">
        <v>46006</v>
      </c>
      <c r="D34" s="122">
        <v>46006</v>
      </c>
      <c r="E34" s="30" t="s">
        <v>250</v>
      </c>
      <c r="F34" s="59" t="s">
        <v>907</v>
      </c>
      <c r="G34" s="41" t="s">
        <v>129</v>
      </c>
      <c r="H34" s="41" t="s">
        <v>130</v>
      </c>
      <c r="I34" s="190" t="s">
        <v>559</v>
      </c>
      <c r="J34" s="179">
        <v>250000</v>
      </c>
      <c r="K34" s="68"/>
      <c r="L34" s="69"/>
      <c r="M34" s="104">
        <f t="shared" si="0"/>
        <v>250000</v>
      </c>
      <c r="N34" s="220" t="s">
        <v>226</v>
      </c>
      <c r="O34" s="224">
        <v>250000</v>
      </c>
      <c r="P34" s="216"/>
      <c r="Q34" s="225">
        <f t="shared" si="1"/>
        <v>250000</v>
      </c>
      <c r="R34" s="95"/>
      <c r="S34" s="93"/>
      <c r="T34" s="102"/>
      <c r="U34" s="98"/>
      <c r="V34" s="100"/>
      <c r="W34" s="98"/>
      <c r="X34" s="98"/>
      <c r="Y34" s="98"/>
      <c r="Z34" s="98"/>
      <c r="AA34" s="98"/>
      <c r="AB34" s="98"/>
      <c r="AC34" s="98"/>
    </row>
    <row r="35" spans="1:29" ht="21" customHeight="1">
      <c r="A35" s="159" t="s">
        <v>828</v>
      </c>
      <c r="B35" s="40">
        <v>33</v>
      </c>
      <c r="C35" s="122">
        <v>46006</v>
      </c>
      <c r="D35" s="122">
        <v>46006</v>
      </c>
      <c r="E35" s="30" t="s">
        <v>240</v>
      </c>
      <c r="F35" s="59" t="s">
        <v>165</v>
      </c>
      <c r="G35" s="41" t="s">
        <v>93</v>
      </c>
      <c r="H35" s="41" t="s">
        <v>94</v>
      </c>
      <c r="I35" s="111" t="s">
        <v>552</v>
      </c>
      <c r="J35" s="179">
        <v>250000</v>
      </c>
      <c r="K35" s="68">
        <v>0</v>
      </c>
      <c r="L35" s="69"/>
      <c r="M35" s="104">
        <f t="shared" si="0"/>
        <v>250000</v>
      </c>
      <c r="N35" s="220" t="s">
        <v>226</v>
      </c>
      <c r="O35" s="224">
        <v>250000</v>
      </c>
      <c r="P35" s="216"/>
      <c r="Q35" s="225">
        <f t="shared" si="1"/>
        <v>250000</v>
      </c>
      <c r="R35" s="95"/>
      <c r="S35" s="93"/>
      <c r="T35" s="100"/>
      <c r="U35" s="98"/>
      <c r="V35" s="98"/>
      <c r="W35" s="98"/>
      <c r="X35" s="98"/>
      <c r="Y35" s="98"/>
      <c r="Z35" s="98"/>
      <c r="AA35" s="98"/>
      <c r="AB35" s="98"/>
      <c r="AC35" s="98"/>
    </row>
    <row r="36" spans="1:29" ht="21" customHeight="1">
      <c r="A36" s="159" t="s">
        <v>828</v>
      </c>
      <c r="B36" s="40">
        <v>34</v>
      </c>
      <c r="C36" s="122">
        <v>46006</v>
      </c>
      <c r="D36" s="122">
        <v>46006</v>
      </c>
      <c r="E36" s="66" t="s">
        <v>141</v>
      </c>
      <c r="F36" s="59" t="s">
        <v>907</v>
      </c>
      <c r="G36" s="41" t="s">
        <v>131</v>
      </c>
      <c r="H36" s="41" t="s">
        <v>549</v>
      </c>
      <c r="I36" s="190" t="s">
        <v>565</v>
      </c>
      <c r="J36" s="179">
        <v>300000</v>
      </c>
      <c r="K36" s="68"/>
      <c r="L36" s="69"/>
      <c r="M36" s="104">
        <f t="shared" ref="M36:M66" si="2">J36-K36</f>
        <v>300000</v>
      </c>
      <c r="N36" s="220" t="s">
        <v>226</v>
      </c>
      <c r="O36" s="224">
        <v>300000</v>
      </c>
      <c r="P36" s="216"/>
      <c r="Q36" s="225">
        <f t="shared" si="1"/>
        <v>300000</v>
      </c>
      <c r="R36" s="95"/>
      <c r="S36" s="93"/>
      <c r="T36" s="102"/>
      <c r="U36" s="98"/>
      <c r="V36" s="100"/>
      <c r="W36" s="98"/>
      <c r="X36" s="98"/>
      <c r="Y36" s="98"/>
      <c r="Z36" s="98"/>
      <c r="AA36" s="98"/>
      <c r="AB36" s="98"/>
      <c r="AC36" s="98"/>
    </row>
    <row r="37" spans="1:29" ht="21" customHeight="1">
      <c r="A37" s="159" t="s">
        <v>828</v>
      </c>
      <c r="B37" s="40">
        <v>35</v>
      </c>
      <c r="C37" s="122">
        <v>46002</v>
      </c>
      <c r="D37" s="122">
        <v>46002</v>
      </c>
      <c r="E37" s="30" t="s">
        <v>197</v>
      </c>
      <c r="F37" s="30" t="s">
        <v>907</v>
      </c>
      <c r="G37" s="41" t="s">
        <v>163</v>
      </c>
      <c r="H37" s="41" t="s">
        <v>162</v>
      </c>
      <c r="I37" s="19" t="s">
        <v>161</v>
      </c>
      <c r="J37" s="67">
        <f>200000</f>
        <v>200000</v>
      </c>
      <c r="K37" s="46"/>
      <c r="L37" s="69"/>
      <c r="M37" s="105">
        <f t="shared" si="2"/>
        <v>200000</v>
      </c>
      <c r="N37" s="220" t="s">
        <v>229</v>
      </c>
      <c r="O37" s="224">
        <v>200000</v>
      </c>
      <c r="P37" s="216"/>
      <c r="Q37" s="225">
        <f t="shared" si="1"/>
        <v>200000</v>
      </c>
      <c r="R37" s="95" t="s">
        <v>523</v>
      </c>
      <c r="S37" s="95"/>
      <c r="T37" s="95" t="s">
        <v>164</v>
      </c>
      <c r="U37" s="98"/>
      <c r="V37" s="100"/>
      <c r="W37" s="98"/>
      <c r="X37" s="98"/>
      <c r="Y37" s="98"/>
      <c r="Z37" s="98"/>
      <c r="AA37" s="98"/>
      <c r="AB37" s="98"/>
      <c r="AC37" s="98"/>
    </row>
    <row r="38" spans="1:29" s="1" customFormat="1" ht="21" customHeight="1">
      <c r="A38" s="159" t="s">
        <v>828</v>
      </c>
      <c r="B38" s="40">
        <v>36</v>
      </c>
      <c r="C38" s="122">
        <v>46006</v>
      </c>
      <c r="D38" s="122">
        <v>46006</v>
      </c>
      <c r="E38" s="174" t="s">
        <v>198</v>
      </c>
      <c r="F38" s="171" t="s">
        <v>907</v>
      </c>
      <c r="G38" s="173" t="s">
        <v>179</v>
      </c>
      <c r="H38" s="172" t="s">
        <v>173</v>
      </c>
      <c r="I38" s="176" t="s">
        <v>561</v>
      </c>
      <c r="J38" s="180">
        <f>600000+350000</f>
        <v>950000</v>
      </c>
      <c r="K38" s="68"/>
      <c r="L38" s="69"/>
      <c r="M38" s="104">
        <f t="shared" si="2"/>
        <v>950000</v>
      </c>
      <c r="N38" s="220" t="s">
        <v>226</v>
      </c>
      <c r="O38" s="70">
        <v>950000</v>
      </c>
      <c r="P38" s="70"/>
      <c r="Q38" s="227">
        <f t="shared" si="1"/>
        <v>950000</v>
      </c>
      <c r="R38" s="93" t="s">
        <v>835</v>
      </c>
      <c r="S38" s="96"/>
      <c r="T38" s="169"/>
      <c r="U38" s="98"/>
      <c r="V38" s="100"/>
      <c r="W38" s="98"/>
      <c r="X38" s="98"/>
      <c r="Y38" s="98"/>
      <c r="Z38" s="98"/>
      <c r="AA38" s="98"/>
      <c r="AB38" s="98"/>
      <c r="AC38" s="98"/>
    </row>
    <row r="39" spans="1:29" ht="21" customHeight="1">
      <c r="A39" s="159" t="s">
        <v>828</v>
      </c>
      <c r="B39" s="40">
        <v>38</v>
      </c>
      <c r="C39" s="122">
        <v>46006</v>
      </c>
      <c r="D39" s="122">
        <v>46006</v>
      </c>
      <c r="E39" s="30" t="s">
        <v>546</v>
      </c>
      <c r="F39" s="59" t="s">
        <v>907</v>
      </c>
      <c r="G39" s="41">
        <v>2017.06</v>
      </c>
      <c r="H39" s="41" t="s">
        <v>178</v>
      </c>
      <c r="I39" s="70" t="s">
        <v>565</v>
      </c>
      <c r="J39" s="179">
        <v>100000</v>
      </c>
      <c r="K39" s="58"/>
      <c r="L39" s="69"/>
      <c r="M39" s="104">
        <f t="shared" si="2"/>
        <v>100000</v>
      </c>
      <c r="N39" s="220" t="s">
        <v>226</v>
      </c>
      <c r="O39" s="70">
        <v>100000</v>
      </c>
      <c r="P39" s="70"/>
      <c r="Q39" s="227">
        <f t="shared" si="1"/>
        <v>100000</v>
      </c>
      <c r="R39" s="95"/>
      <c r="S39" s="93"/>
      <c r="T39" s="94"/>
      <c r="U39" s="98"/>
      <c r="V39" s="100"/>
      <c r="W39" s="98"/>
      <c r="X39" s="98"/>
      <c r="Y39" s="98"/>
      <c r="Z39" s="98"/>
      <c r="AA39" s="98"/>
      <c r="AB39" s="98"/>
      <c r="AC39" s="98"/>
    </row>
    <row r="40" spans="1:29" s="1" customFormat="1" ht="21" customHeight="1">
      <c r="A40" s="159" t="s">
        <v>828</v>
      </c>
      <c r="B40" s="40">
        <v>39</v>
      </c>
      <c r="C40" s="122">
        <v>46006</v>
      </c>
      <c r="D40" s="122">
        <v>46006</v>
      </c>
      <c r="E40" s="30" t="s">
        <v>746</v>
      </c>
      <c r="F40" s="59" t="s">
        <v>907</v>
      </c>
      <c r="G40" s="61">
        <v>42917</v>
      </c>
      <c r="H40" s="17" t="s">
        <v>648</v>
      </c>
      <c r="I40" s="70" t="s">
        <v>557</v>
      </c>
      <c r="J40" s="179">
        <v>100000</v>
      </c>
      <c r="K40" s="121"/>
      <c r="L40" s="113"/>
      <c r="M40" s="104">
        <f t="shared" si="2"/>
        <v>100000</v>
      </c>
      <c r="N40" s="220" t="s">
        <v>226</v>
      </c>
      <c r="O40" s="70">
        <v>100000</v>
      </c>
      <c r="P40" s="70"/>
      <c r="Q40" s="227">
        <f t="shared" si="1"/>
        <v>100000</v>
      </c>
      <c r="R40" s="93"/>
      <c r="S40" s="93"/>
      <c r="T40" s="94"/>
      <c r="U40" s="98"/>
      <c r="V40" s="100"/>
      <c r="W40" s="98"/>
      <c r="X40" s="98"/>
      <c r="Y40" s="98"/>
      <c r="Z40" s="98"/>
      <c r="AA40" s="98"/>
      <c r="AB40" s="98"/>
      <c r="AC40" s="98"/>
    </row>
    <row r="41" spans="1:29" s="1" customFormat="1" ht="21" customHeight="1">
      <c r="A41" s="159">
        <v>106</v>
      </c>
      <c r="B41" s="40">
        <v>40</v>
      </c>
      <c r="C41" s="122">
        <v>46022</v>
      </c>
      <c r="D41" s="122">
        <v>46022</v>
      </c>
      <c r="E41" s="30" t="s">
        <v>674</v>
      </c>
      <c r="F41" s="30" t="s">
        <v>909</v>
      </c>
      <c r="G41" s="61">
        <v>43101</v>
      </c>
      <c r="H41" s="17" t="s">
        <v>778</v>
      </c>
      <c r="I41" s="70" t="s">
        <v>111</v>
      </c>
      <c r="J41" s="211">
        <f>39878800-1170540</f>
        <v>38708260</v>
      </c>
      <c r="K41" s="114">
        <f>9165000+700000+1500000+500000+1953000+7990000+5590584+1000000+212500+39000+187500+612500+230000+400000</f>
        <v>30080084</v>
      </c>
      <c r="L41" s="73" t="s">
        <v>943</v>
      </c>
      <c r="M41" s="104">
        <f t="shared" si="2"/>
        <v>8628176</v>
      </c>
      <c r="N41" s="220" t="s">
        <v>139</v>
      </c>
      <c r="O41" s="70">
        <v>39391075</v>
      </c>
      <c r="P41" s="70">
        <v>32670639</v>
      </c>
      <c r="Q41" s="227">
        <f t="shared" si="1"/>
        <v>6720436</v>
      </c>
      <c r="R41" s="215" t="s">
        <v>940</v>
      </c>
      <c r="S41" s="93"/>
      <c r="T41" s="94"/>
      <c r="U41" s="98"/>
      <c r="V41" s="100"/>
      <c r="W41" s="98"/>
      <c r="X41" s="98"/>
      <c r="Y41" s="98"/>
      <c r="Z41" s="98"/>
      <c r="AA41" s="98"/>
      <c r="AB41" s="98"/>
      <c r="AC41" s="98"/>
    </row>
    <row r="42" spans="1:29" s="1" customFormat="1" ht="21" customHeight="1">
      <c r="A42" s="159" t="s">
        <v>828</v>
      </c>
      <c r="B42" s="40">
        <v>41</v>
      </c>
      <c r="C42" s="122">
        <v>46006</v>
      </c>
      <c r="D42" s="122">
        <v>46006</v>
      </c>
      <c r="E42" s="30" t="s">
        <v>255</v>
      </c>
      <c r="F42" s="59" t="s">
        <v>907</v>
      </c>
      <c r="G42" s="61">
        <v>43196</v>
      </c>
      <c r="H42" s="17" t="s">
        <v>186</v>
      </c>
      <c r="I42" s="70" t="s">
        <v>563</v>
      </c>
      <c r="J42" s="179">
        <v>100000</v>
      </c>
      <c r="K42" s="60"/>
      <c r="L42" s="113"/>
      <c r="M42" s="104">
        <f t="shared" si="2"/>
        <v>100000</v>
      </c>
      <c r="N42" s="220" t="s">
        <v>226</v>
      </c>
      <c r="O42" s="70">
        <v>100000</v>
      </c>
      <c r="P42" s="70"/>
      <c r="Q42" s="227">
        <f t="shared" si="1"/>
        <v>100000</v>
      </c>
      <c r="R42" s="93"/>
      <c r="S42" s="93"/>
      <c r="T42" s="94"/>
      <c r="U42" s="98"/>
      <c r="V42" s="100"/>
      <c r="W42" s="98"/>
      <c r="X42" s="98"/>
      <c r="Y42" s="98"/>
      <c r="Z42" s="98"/>
      <c r="AA42" s="98"/>
      <c r="AB42" s="98"/>
      <c r="AC42" s="98"/>
    </row>
    <row r="43" spans="1:29" s="1" customFormat="1" ht="21" customHeight="1">
      <c r="A43" s="159" t="s">
        <v>828</v>
      </c>
      <c r="B43" s="40">
        <v>42</v>
      </c>
      <c r="C43" s="122">
        <v>46006</v>
      </c>
      <c r="D43" s="122">
        <v>46006</v>
      </c>
      <c r="E43" s="30" t="s">
        <v>257</v>
      </c>
      <c r="F43" s="59" t="s">
        <v>907</v>
      </c>
      <c r="G43" s="61">
        <v>43313</v>
      </c>
      <c r="H43" s="17" t="s">
        <v>194</v>
      </c>
      <c r="I43" s="70" t="s">
        <v>563</v>
      </c>
      <c r="J43" s="179">
        <v>350000</v>
      </c>
      <c r="K43" s="60"/>
      <c r="L43" s="113"/>
      <c r="M43" s="104">
        <f t="shared" si="2"/>
        <v>350000</v>
      </c>
      <c r="N43" s="220" t="s">
        <v>226</v>
      </c>
      <c r="O43" s="70">
        <v>350000</v>
      </c>
      <c r="P43" s="70"/>
      <c r="Q43" s="227">
        <f t="shared" si="1"/>
        <v>350000</v>
      </c>
      <c r="R43" s="93"/>
      <c r="S43" s="93"/>
      <c r="T43" s="94"/>
      <c r="U43" s="98"/>
      <c r="V43" s="100"/>
      <c r="W43" s="98"/>
      <c r="X43" s="98"/>
      <c r="Y43" s="98"/>
      <c r="Z43" s="98"/>
      <c r="AA43" s="98"/>
      <c r="AB43" s="98"/>
      <c r="AC43" s="98"/>
    </row>
    <row r="44" spans="1:29" s="1" customFormat="1" ht="21" customHeight="1">
      <c r="A44" s="159" t="s">
        <v>828</v>
      </c>
      <c r="B44" s="40">
        <v>43</v>
      </c>
      <c r="C44" s="122">
        <v>46006</v>
      </c>
      <c r="D44" s="122">
        <v>46006</v>
      </c>
      <c r="E44" s="30" t="s">
        <v>247</v>
      </c>
      <c r="F44" s="59" t="s">
        <v>193</v>
      </c>
      <c r="G44" s="17" t="s">
        <v>264</v>
      </c>
      <c r="H44" s="41"/>
      <c r="I44" s="45"/>
      <c r="J44" s="179">
        <v>200000</v>
      </c>
      <c r="K44" s="46"/>
      <c r="L44" s="69"/>
      <c r="M44" s="104">
        <f t="shared" si="2"/>
        <v>200000</v>
      </c>
      <c r="N44" s="220" t="s">
        <v>226</v>
      </c>
      <c r="O44" s="230">
        <v>200000</v>
      </c>
      <c r="P44" s="217"/>
      <c r="Q44" s="231">
        <f t="shared" si="1"/>
        <v>200000</v>
      </c>
      <c r="R44" s="93"/>
      <c r="S44" s="93"/>
      <c r="T44" s="94"/>
      <c r="U44" s="98"/>
      <c r="V44" s="100"/>
      <c r="W44" s="98"/>
      <c r="X44" s="98"/>
      <c r="Y44" s="98"/>
      <c r="Z44" s="98"/>
      <c r="AA44" s="98"/>
      <c r="AB44" s="98"/>
      <c r="AC44" s="98"/>
    </row>
    <row r="45" spans="1:29" s="1" customFormat="1" ht="21" customHeight="1">
      <c r="A45" s="159" t="s">
        <v>828</v>
      </c>
      <c r="B45" s="40">
        <v>44</v>
      </c>
      <c r="C45" s="122">
        <v>46006</v>
      </c>
      <c r="D45" s="122">
        <v>46006</v>
      </c>
      <c r="E45" s="30" t="s">
        <v>258</v>
      </c>
      <c r="F45" s="162" t="s">
        <v>907</v>
      </c>
      <c r="G45" s="110">
        <v>43344</v>
      </c>
      <c r="H45" s="151" t="s">
        <v>234</v>
      </c>
      <c r="I45" s="108" t="s">
        <v>567</v>
      </c>
      <c r="J45" s="179">
        <v>650000</v>
      </c>
      <c r="K45" s="109"/>
      <c r="L45" s="113"/>
      <c r="M45" s="104">
        <f t="shared" si="2"/>
        <v>650000</v>
      </c>
      <c r="N45" s="220" t="s">
        <v>226</v>
      </c>
      <c r="O45" s="70">
        <v>650000</v>
      </c>
      <c r="P45" s="70"/>
      <c r="Q45" s="227">
        <f t="shared" si="1"/>
        <v>650000</v>
      </c>
      <c r="R45" s="93"/>
      <c r="S45" s="96"/>
      <c r="T45" s="94"/>
      <c r="U45" s="98"/>
      <c r="V45" s="100"/>
      <c r="W45" s="98"/>
      <c r="X45" s="98"/>
      <c r="Y45" s="98"/>
      <c r="Z45" s="98"/>
      <c r="AA45" s="98"/>
      <c r="AB45" s="98"/>
      <c r="AC45" s="98"/>
    </row>
    <row r="46" spans="1:29" ht="21" customHeight="1">
      <c r="A46" s="159" t="s">
        <v>828</v>
      </c>
      <c r="B46" s="40">
        <v>45</v>
      </c>
      <c r="C46" s="122">
        <v>46022</v>
      </c>
      <c r="D46" s="122">
        <v>46022</v>
      </c>
      <c r="E46" s="30" t="s">
        <v>259</v>
      </c>
      <c r="F46" s="30" t="s">
        <v>907</v>
      </c>
      <c r="G46" s="61">
        <v>43344</v>
      </c>
      <c r="H46" s="151" t="s">
        <v>196</v>
      </c>
      <c r="I46" s="18" t="s">
        <v>567</v>
      </c>
      <c r="J46" s="70">
        <v>200000</v>
      </c>
      <c r="K46" s="114"/>
      <c r="L46" s="113"/>
      <c r="M46" s="104">
        <f t="shared" si="2"/>
        <v>200000</v>
      </c>
      <c r="N46" s="220" t="s">
        <v>139</v>
      </c>
      <c r="O46" s="70">
        <v>200000</v>
      </c>
      <c r="P46" s="70"/>
      <c r="Q46" s="227">
        <f t="shared" si="1"/>
        <v>200000</v>
      </c>
      <c r="R46" s="93"/>
      <c r="S46" s="93"/>
      <c r="T46" s="100"/>
      <c r="U46" s="100"/>
      <c r="V46" s="100"/>
      <c r="W46" s="98"/>
      <c r="X46" s="98"/>
      <c r="Y46" s="98"/>
      <c r="Z46" s="98"/>
      <c r="AA46" s="98"/>
      <c r="AB46" s="98"/>
      <c r="AC46" s="98"/>
    </row>
    <row r="47" spans="1:29" s="1" customFormat="1" ht="21" customHeight="1">
      <c r="A47" s="159" t="s">
        <v>828</v>
      </c>
      <c r="B47" s="40">
        <v>46</v>
      </c>
      <c r="C47" s="122">
        <v>46022</v>
      </c>
      <c r="D47" s="122">
        <v>46022</v>
      </c>
      <c r="E47" s="30" t="s">
        <v>201</v>
      </c>
      <c r="F47" s="30" t="s">
        <v>907</v>
      </c>
      <c r="G47" s="61">
        <v>43416</v>
      </c>
      <c r="H47" s="17" t="s">
        <v>681</v>
      </c>
      <c r="I47" s="18" t="s">
        <v>161</v>
      </c>
      <c r="J47" s="70">
        <f>700000+100000</f>
        <v>800000</v>
      </c>
      <c r="K47" s="114"/>
      <c r="L47" s="113"/>
      <c r="M47" s="104">
        <f t="shared" si="2"/>
        <v>800000</v>
      </c>
      <c r="N47" s="220" t="s">
        <v>139</v>
      </c>
      <c r="O47" s="70">
        <v>800000</v>
      </c>
      <c r="P47" s="70"/>
      <c r="Q47" s="227">
        <f t="shared" si="1"/>
        <v>800000</v>
      </c>
      <c r="R47" s="93"/>
      <c r="S47" s="96"/>
      <c r="T47" s="94"/>
      <c r="U47" s="98"/>
      <c r="V47" s="100"/>
      <c r="W47" s="98"/>
      <c r="X47" s="98"/>
      <c r="Y47" s="98"/>
      <c r="Z47" s="98"/>
      <c r="AA47" s="98"/>
      <c r="AB47" s="98"/>
      <c r="AC47" s="98"/>
    </row>
    <row r="48" spans="1:29" s="1" customFormat="1" ht="21" customHeight="1">
      <c r="A48" s="159" t="s">
        <v>828</v>
      </c>
      <c r="B48" s="40">
        <v>47</v>
      </c>
      <c r="C48" s="122">
        <v>46006</v>
      </c>
      <c r="D48" s="122">
        <v>46006</v>
      </c>
      <c r="E48" s="30" t="s">
        <v>203</v>
      </c>
      <c r="F48" s="59" t="s">
        <v>907</v>
      </c>
      <c r="G48" s="61">
        <v>43466</v>
      </c>
      <c r="H48" s="17" t="s">
        <v>832</v>
      </c>
      <c r="I48" s="70" t="s">
        <v>833</v>
      </c>
      <c r="J48" s="179">
        <f>250000-70000</f>
        <v>180000</v>
      </c>
      <c r="K48" s="114"/>
      <c r="L48" s="113"/>
      <c r="M48" s="104">
        <f t="shared" si="2"/>
        <v>180000</v>
      </c>
      <c r="N48" s="220" t="s">
        <v>226</v>
      </c>
      <c r="O48" s="70">
        <v>180000</v>
      </c>
      <c r="P48" s="70"/>
      <c r="Q48" s="227">
        <f t="shared" si="1"/>
        <v>180000</v>
      </c>
      <c r="R48" s="93"/>
      <c r="S48" s="96"/>
      <c r="T48" s="94"/>
      <c r="U48" s="98"/>
      <c r="V48" s="100"/>
      <c r="W48" s="98"/>
      <c r="X48" s="98"/>
      <c r="Y48" s="98"/>
      <c r="Z48" s="98"/>
      <c r="AA48" s="98"/>
      <c r="AB48" s="98"/>
      <c r="AC48" s="98"/>
    </row>
    <row r="49" spans="1:29" s="1" customFormat="1" ht="21" customHeight="1">
      <c r="A49" s="159" t="s">
        <v>828</v>
      </c>
      <c r="B49" s="40">
        <v>48</v>
      </c>
      <c r="C49" s="122">
        <v>46006</v>
      </c>
      <c r="D49" s="122">
        <v>46006</v>
      </c>
      <c r="E49" s="30" t="s">
        <v>260</v>
      </c>
      <c r="F49" s="59" t="s">
        <v>907</v>
      </c>
      <c r="G49" s="61">
        <v>43466</v>
      </c>
      <c r="H49" s="17" t="s">
        <v>756</v>
      </c>
      <c r="I49" s="18" t="s">
        <v>111</v>
      </c>
      <c r="J49" s="179">
        <f>1500000+1200000</f>
        <v>2700000</v>
      </c>
      <c r="K49" s="60"/>
      <c r="L49" s="113"/>
      <c r="M49" s="104">
        <f t="shared" si="2"/>
        <v>2700000</v>
      </c>
      <c r="N49" s="220" t="s">
        <v>226</v>
      </c>
      <c r="O49" s="70">
        <v>2700000</v>
      </c>
      <c r="P49" s="70"/>
      <c r="Q49" s="227">
        <f t="shared" si="1"/>
        <v>2700000</v>
      </c>
      <c r="R49" s="93"/>
      <c r="S49" s="96"/>
      <c r="T49" s="94"/>
      <c r="U49" s="98"/>
      <c r="V49" s="100"/>
      <c r="W49" s="98"/>
      <c r="X49" s="98"/>
      <c r="Y49" s="98"/>
      <c r="Z49" s="98"/>
      <c r="AA49" s="98"/>
      <c r="AB49" s="98"/>
      <c r="AC49" s="98"/>
    </row>
    <row r="50" spans="1:29" s="1" customFormat="1" ht="21" customHeight="1">
      <c r="A50" s="159" t="s">
        <v>828</v>
      </c>
      <c r="B50" s="40">
        <v>49</v>
      </c>
      <c r="C50" s="122">
        <v>46006</v>
      </c>
      <c r="D50" s="122">
        <v>46006</v>
      </c>
      <c r="E50" s="30" t="s">
        <v>269</v>
      </c>
      <c r="F50" s="59" t="s">
        <v>907</v>
      </c>
      <c r="G50" s="61">
        <v>43609</v>
      </c>
      <c r="H50" s="17" t="s">
        <v>219</v>
      </c>
      <c r="I50" s="18" t="s">
        <v>565</v>
      </c>
      <c r="J50" s="179">
        <v>550000</v>
      </c>
      <c r="K50" s="60">
        <f>150000-150000</f>
        <v>0</v>
      </c>
      <c r="L50" s="113"/>
      <c r="M50" s="104">
        <f t="shared" si="2"/>
        <v>550000</v>
      </c>
      <c r="N50" s="220" t="s">
        <v>226</v>
      </c>
      <c r="O50" s="70">
        <v>550000</v>
      </c>
      <c r="P50" s="70"/>
      <c r="Q50" s="227">
        <f t="shared" si="1"/>
        <v>550000</v>
      </c>
      <c r="R50" s="93"/>
      <c r="S50" s="96"/>
      <c r="T50" s="94"/>
      <c r="U50" s="98"/>
      <c r="V50" s="100"/>
      <c r="W50" s="98"/>
      <c r="X50" s="98"/>
      <c r="Y50" s="98"/>
      <c r="Z50" s="98"/>
      <c r="AA50" s="98"/>
      <c r="AB50" s="98"/>
      <c r="AC50" s="98"/>
    </row>
    <row r="51" spans="1:29" s="1" customFormat="1" ht="21" customHeight="1">
      <c r="A51" s="159">
        <v>106</v>
      </c>
      <c r="B51" s="40">
        <v>50</v>
      </c>
      <c r="C51" s="122">
        <v>46016</v>
      </c>
      <c r="D51" s="122">
        <v>46020</v>
      </c>
      <c r="E51" s="30" t="s">
        <v>733</v>
      </c>
      <c r="F51" s="30" t="s">
        <v>910</v>
      </c>
      <c r="G51" s="61">
        <v>43647</v>
      </c>
      <c r="H51" s="17" t="s">
        <v>778</v>
      </c>
      <c r="I51" s="70" t="s">
        <v>807</v>
      </c>
      <c r="J51" s="203">
        <v>16969100</v>
      </c>
      <c r="K51" s="114">
        <f>2500000+4679000+4132500+500000+1480000</f>
        <v>13291500</v>
      </c>
      <c r="L51" s="73" t="s">
        <v>924</v>
      </c>
      <c r="M51" s="104">
        <f>J51-K51</f>
        <v>3677600</v>
      </c>
      <c r="N51" s="220" t="s">
        <v>199</v>
      </c>
      <c r="O51" s="70">
        <v>16969100</v>
      </c>
      <c r="P51" s="70">
        <f>2500000+4679000+4132500+500000+1480000</f>
        <v>13291500</v>
      </c>
      <c r="Q51" s="227">
        <f t="shared" si="1"/>
        <v>3677600</v>
      </c>
      <c r="R51" s="205" t="s">
        <v>931</v>
      </c>
      <c r="S51" s="96"/>
      <c r="T51" s="94"/>
      <c r="U51" s="98"/>
      <c r="V51" s="100"/>
      <c r="W51" s="98"/>
      <c r="X51" s="98"/>
      <c r="Y51" s="98"/>
      <c r="Z51" s="98"/>
      <c r="AA51" s="98"/>
      <c r="AB51" s="98"/>
      <c r="AC51" s="98"/>
    </row>
    <row r="52" spans="1:29" s="1" customFormat="1" ht="21" customHeight="1">
      <c r="A52" s="159" t="s">
        <v>828</v>
      </c>
      <c r="B52" s="40">
        <v>51</v>
      </c>
      <c r="C52" s="122">
        <v>46006</v>
      </c>
      <c r="D52" s="122">
        <v>46006</v>
      </c>
      <c r="E52" s="30" t="s">
        <v>214</v>
      </c>
      <c r="F52" s="59" t="s">
        <v>907</v>
      </c>
      <c r="G52" s="61">
        <v>43661</v>
      </c>
      <c r="H52" s="17" t="s">
        <v>548</v>
      </c>
      <c r="I52" s="18" t="s">
        <v>557</v>
      </c>
      <c r="J52" s="179">
        <v>1200000</v>
      </c>
      <c r="K52" s="60"/>
      <c r="L52" s="113"/>
      <c r="M52" s="104">
        <f t="shared" si="2"/>
        <v>1200000</v>
      </c>
      <c r="N52" s="220" t="s">
        <v>226</v>
      </c>
      <c r="O52" s="70">
        <v>1200000</v>
      </c>
      <c r="P52" s="70"/>
      <c r="Q52" s="227">
        <f t="shared" si="1"/>
        <v>1200000</v>
      </c>
      <c r="R52" s="166"/>
      <c r="S52" s="96"/>
      <c r="T52" s="94"/>
      <c r="U52" s="98"/>
      <c r="V52" s="100"/>
      <c r="W52" s="98"/>
      <c r="X52" s="98"/>
      <c r="Y52" s="98"/>
      <c r="Z52" s="98"/>
      <c r="AA52" s="98"/>
      <c r="AB52" s="98"/>
      <c r="AC52" s="98"/>
    </row>
    <row r="53" spans="1:29" s="1" customFormat="1" ht="21" customHeight="1">
      <c r="A53" s="159" t="s">
        <v>828</v>
      </c>
      <c r="B53" s="40">
        <v>52</v>
      </c>
      <c r="C53" s="122">
        <v>46006</v>
      </c>
      <c r="D53" s="122">
        <v>46006</v>
      </c>
      <c r="E53" s="174" t="s">
        <v>15</v>
      </c>
      <c r="F53" s="174" t="s">
        <v>907</v>
      </c>
      <c r="G53" s="175">
        <v>43770</v>
      </c>
      <c r="H53" s="173" t="s">
        <v>683</v>
      </c>
      <c r="I53" s="176" t="s">
        <v>111</v>
      </c>
      <c r="J53" s="176">
        <f>4541000+219000</f>
        <v>4760000</v>
      </c>
      <c r="K53" s="114"/>
      <c r="L53" s="198" t="s">
        <v>886</v>
      </c>
      <c r="M53" s="104">
        <f t="shared" si="2"/>
        <v>4760000</v>
      </c>
      <c r="N53" s="220" t="s">
        <v>226</v>
      </c>
      <c r="O53" s="70">
        <v>4760000</v>
      </c>
      <c r="P53" s="70"/>
      <c r="Q53" s="227">
        <f t="shared" si="1"/>
        <v>4760000</v>
      </c>
      <c r="R53" s="93" t="s">
        <v>894</v>
      </c>
      <c r="S53" s="96"/>
      <c r="T53" s="94"/>
      <c r="U53" s="98"/>
      <c r="V53" s="100"/>
      <c r="W53" s="98"/>
      <c r="X53" s="98"/>
      <c r="Y53" s="98"/>
      <c r="Z53" s="98"/>
      <c r="AA53" s="98"/>
      <c r="AB53" s="98"/>
      <c r="AC53" s="98"/>
    </row>
    <row r="54" spans="1:29" s="1" customFormat="1" ht="21" customHeight="1">
      <c r="A54" s="159" t="s">
        <v>828</v>
      </c>
      <c r="B54" s="40">
        <v>53</v>
      </c>
      <c r="C54" s="122">
        <v>46006</v>
      </c>
      <c r="D54" s="122">
        <v>46006</v>
      </c>
      <c r="E54" s="30" t="s">
        <v>64</v>
      </c>
      <c r="F54" s="161" t="s">
        <v>591</v>
      </c>
      <c r="G54" s="61">
        <v>43845</v>
      </c>
      <c r="H54" s="17" t="s">
        <v>696</v>
      </c>
      <c r="I54" s="70" t="s">
        <v>559</v>
      </c>
      <c r="J54" s="179">
        <v>400000</v>
      </c>
      <c r="K54" s="114"/>
      <c r="L54" s="113"/>
      <c r="M54" s="104">
        <f t="shared" si="2"/>
        <v>400000</v>
      </c>
      <c r="N54" s="220" t="s">
        <v>226</v>
      </c>
      <c r="O54" s="70">
        <v>400000</v>
      </c>
      <c r="P54" s="70"/>
      <c r="Q54" s="227">
        <f t="shared" si="1"/>
        <v>400000</v>
      </c>
      <c r="R54" s="93"/>
      <c r="S54" s="124"/>
      <c r="T54" s="4"/>
      <c r="U54" s="107"/>
    </row>
    <row r="55" spans="1:29" s="1" customFormat="1" ht="21" customHeight="1">
      <c r="A55" s="159" t="s">
        <v>828</v>
      </c>
      <c r="B55" s="40">
        <v>54</v>
      </c>
      <c r="C55" s="122">
        <v>46006</v>
      </c>
      <c r="D55" s="122">
        <v>46006</v>
      </c>
      <c r="E55" s="30" t="s">
        <v>271</v>
      </c>
      <c r="F55" s="59" t="s">
        <v>907</v>
      </c>
      <c r="G55" s="61">
        <v>44063</v>
      </c>
      <c r="H55" s="17" t="s">
        <v>270</v>
      </c>
      <c r="I55" s="70" t="s">
        <v>566</v>
      </c>
      <c r="J55" s="179">
        <v>100000</v>
      </c>
      <c r="K55" s="114"/>
      <c r="L55" s="117"/>
      <c r="M55" s="104">
        <f t="shared" si="2"/>
        <v>100000</v>
      </c>
      <c r="N55" s="220" t="s">
        <v>226</v>
      </c>
      <c r="O55" s="70">
        <v>100000</v>
      </c>
      <c r="P55" s="70"/>
      <c r="Q55" s="227">
        <f t="shared" si="1"/>
        <v>100000</v>
      </c>
      <c r="R55" s="93"/>
      <c r="S55" s="93"/>
      <c r="T55" s="94"/>
      <c r="U55" s="98"/>
      <c r="V55" s="100"/>
      <c r="W55" s="98"/>
      <c r="X55" s="98"/>
      <c r="Y55" s="98"/>
      <c r="Z55" s="98"/>
      <c r="AA55" s="98"/>
      <c r="AB55" s="98"/>
      <c r="AC55" s="98"/>
    </row>
    <row r="56" spans="1:29" s="1" customFormat="1" ht="21" customHeight="1">
      <c r="A56" s="159" t="s">
        <v>828</v>
      </c>
      <c r="B56" s="40">
        <v>55</v>
      </c>
      <c r="C56" s="122">
        <v>46006</v>
      </c>
      <c r="D56" s="122">
        <v>46006</v>
      </c>
      <c r="E56" s="174" t="s">
        <v>492</v>
      </c>
      <c r="F56" s="171" t="s">
        <v>907</v>
      </c>
      <c r="G56" s="175">
        <v>44166</v>
      </c>
      <c r="H56" s="173" t="s">
        <v>274</v>
      </c>
      <c r="I56" s="176" t="s">
        <v>556</v>
      </c>
      <c r="J56" s="180">
        <v>500000</v>
      </c>
      <c r="K56" s="114"/>
      <c r="L56" s="113"/>
      <c r="M56" s="104">
        <f t="shared" si="2"/>
        <v>500000</v>
      </c>
      <c r="N56" s="221" t="s">
        <v>226</v>
      </c>
      <c r="O56" s="70">
        <v>500000</v>
      </c>
      <c r="P56" s="70"/>
      <c r="Q56" s="227">
        <f t="shared" si="1"/>
        <v>500000</v>
      </c>
      <c r="R56" s="93" t="s">
        <v>517</v>
      </c>
      <c r="S56" s="93"/>
      <c r="T56" s="169"/>
      <c r="U56" s="98"/>
      <c r="V56" s="100"/>
      <c r="W56" s="98"/>
      <c r="X56" s="98"/>
      <c r="Y56" s="98"/>
      <c r="Z56" s="98"/>
      <c r="AA56" s="98"/>
      <c r="AB56" s="98"/>
      <c r="AC56" s="98"/>
    </row>
    <row r="57" spans="1:29" s="1" customFormat="1" ht="21" customHeight="1">
      <c r="A57" s="159" t="s">
        <v>830</v>
      </c>
      <c r="B57" s="40">
        <v>56</v>
      </c>
      <c r="C57" s="122">
        <v>46006</v>
      </c>
      <c r="D57" s="122">
        <v>46006</v>
      </c>
      <c r="E57" s="174" t="s">
        <v>492</v>
      </c>
      <c r="F57" s="171" t="s">
        <v>907</v>
      </c>
      <c r="G57" s="175" t="s">
        <v>493</v>
      </c>
      <c r="H57" s="173" t="s">
        <v>494</v>
      </c>
      <c r="I57" s="176" t="s">
        <v>551</v>
      </c>
      <c r="J57" s="180">
        <v>650000</v>
      </c>
      <c r="K57" s="209">
        <v>591667</v>
      </c>
      <c r="L57" s="113">
        <v>46021</v>
      </c>
      <c r="M57" s="104">
        <f t="shared" si="2"/>
        <v>58333</v>
      </c>
      <c r="N57" s="221" t="s">
        <v>226</v>
      </c>
      <c r="O57" s="70">
        <v>650000</v>
      </c>
      <c r="P57" s="70">
        <v>591667</v>
      </c>
      <c r="Q57" s="227">
        <f t="shared" si="1"/>
        <v>58333</v>
      </c>
      <c r="R57" s="205" t="s">
        <v>825</v>
      </c>
      <c r="S57" s="93"/>
      <c r="T57" s="94"/>
      <c r="U57" s="98"/>
      <c r="V57" s="100"/>
      <c r="W57" s="98"/>
      <c r="X57" s="98"/>
      <c r="Y57" s="98"/>
      <c r="Z57" s="98"/>
      <c r="AA57" s="98"/>
      <c r="AB57" s="98"/>
      <c r="AC57" s="98"/>
    </row>
    <row r="58" spans="1:29" s="1" customFormat="1" ht="21" customHeight="1">
      <c r="A58" s="159" t="s">
        <v>828</v>
      </c>
      <c r="B58" s="40">
        <v>57</v>
      </c>
      <c r="C58" s="122">
        <v>45996</v>
      </c>
      <c r="D58" s="122">
        <v>45996</v>
      </c>
      <c r="E58" s="30" t="s">
        <v>399</v>
      </c>
      <c r="F58" s="30" t="s">
        <v>907</v>
      </c>
      <c r="G58" s="61" t="s">
        <v>402</v>
      </c>
      <c r="H58" s="17" t="s">
        <v>400</v>
      </c>
      <c r="I58" s="70" t="s">
        <v>558</v>
      </c>
      <c r="J58" s="70">
        <v>700000</v>
      </c>
      <c r="K58" s="114"/>
      <c r="L58" s="113"/>
      <c r="M58" s="118">
        <f t="shared" si="2"/>
        <v>700000</v>
      </c>
      <c r="N58" s="221" t="s">
        <v>401</v>
      </c>
      <c r="O58" s="70">
        <v>700000</v>
      </c>
      <c r="P58" s="70"/>
      <c r="Q58" s="227">
        <f t="shared" si="1"/>
        <v>700000</v>
      </c>
      <c r="R58" s="93"/>
      <c r="S58" s="93"/>
      <c r="T58" s="94"/>
      <c r="U58" s="98"/>
      <c r="V58" s="100"/>
      <c r="W58" s="98"/>
      <c r="X58" s="98"/>
      <c r="Y58" s="98"/>
      <c r="Z58" s="98"/>
      <c r="AA58" s="98"/>
      <c r="AB58" s="98"/>
      <c r="AC58" s="98"/>
    </row>
    <row r="59" spans="1:29" s="1" customFormat="1" ht="20.25" customHeight="1">
      <c r="A59" s="159" t="s">
        <v>828</v>
      </c>
      <c r="B59" s="40">
        <v>58</v>
      </c>
      <c r="C59" s="120">
        <v>46006</v>
      </c>
      <c r="D59" s="120">
        <v>46006</v>
      </c>
      <c r="E59" s="30" t="s">
        <v>568</v>
      </c>
      <c r="F59" s="59" t="s">
        <v>907</v>
      </c>
      <c r="G59" s="61" t="s">
        <v>411</v>
      </c>
      <c r="H59" s="17" t="s">
        <v>412</v>
      </c>
      <c r="I59" s="70" t="s">
        <v>551</v>
      </c>
      <c r="J59" s="179">
        <v>320000</v>
      </c>
      <c r="K59" s="114">
        <f>150000</f>
        <v>150000</v>
      </c>
      <c r="L59" s="113">
        <v>46006</v>
      </c>
      <c r="M59" s="104">
        <f t="shared" si="2"/>
        <v>170000</v>
      </c>
      <c r="N59" s="221" t="s">
        <v>611</v>
      </c>
      <c r="O59" s="70">
        <v>320000</v>
      </c>
      <c r="P59" s="70">
        <v>150000</v>
      </c>
      <c r="Q59" s="227">
        <f t="shared" si="1"/>
        <v>170000</v>
      </c>
      <c r="R59" s="93"/>
      <c r="S59" s="93"/>
      <c r="T59" s="94"/>
      <c r="U59" s="98"/>
      <c r="V59" s="100"/>
      <c r="W59" s="98"/>
      <c r="X59" s="98"/>
      <c r="Y59" s="98"/>
      <c r="Z59" s="98"/>
      <c r="AA59" s="98"/>
      <c r="AB59" s="98"/>
      <c r="AC59" s="98"/>
    </row>
    <row r="60" spans="1:29" s="1" customFormat="1" ht="21" customHeight="1">
      <c r="A60" s="159" t="s">
        <v>828</v>
      </c>
      <c r="B60" s="40">
        <v>59</v>
      </c>
      <c r="C60" s="122">
        <v>46006</v>
      </c>
      <c r="D60" s="122">
        <v>46006</v>
      </c>
      <c r="E60" s="30" t="s">
        <v>417</v>
      </c>
      <c r="F60" s="59" t="s">
        <v>907</v>
      </c>
      <c r="G60" s="61" t="s">
        <v>415</v>
      </c>
      <c r="H60" s="17" t="s">
        <v>416</v>
      </c>
      <c r="I60" s="70" t="s">
        <v>551</v>
      </c>
      <c r="J60" s="179">
        <v>300000</v>
      </c>
      <c r="K60" s="114"/>
      <c r="L60" s="113"/>
      <c r="M60" s="104">
        <f t="shared" si="2"/>
        <v>300000</v>
      </c>
      <c r="N60" s="221" t="s">
        <v>226</v>
      </c>
      <c r="O60" s="70">
        <v>300000</v>
      </c>
      <c r="P60" s="70"/>
      <c r="Q60" s="227">
        <f t="shared" si="1"/>
        <v>300000</v>
      </c>
      <c r="R60" s="93"/>
      <c r="S60" s="93"/>
      <c r="T60" s="94"/>
      <c r="U60" s="98"/>
      <c r="V60" s="100"/>
      <c r="W60" s="98"/>
      <c r="X60" s="98"/>
      <c r="Y60" s="98"/>
      <c r="Z60" s="98"/>
      <c r="AA60" s="98"/>
      <c r="AB60" s="98"/>
      <c r="AC60" s="98"/>
    </row>
    <row r="61" spans="1:29" s="1" customFormat="1" ht="21" customHeight="1">
      <c r="A61" s="159" t="s">
        <v>831</v>
      </c>
      <c r="B61" s="40">
        <v>60</v>
      </c>
      <c r="C61" s="122">
        <v>46006</v>
      </c>
      <c r="D61" s="122">
        <v>46006</v>
      </c>
      <c r="E61" s="174" t="s">
        <v>736</v>
      </c>
      <c r="F61" s="171" t="s">
        <v>907</v>
      </c>
      <c r="G61" s="175" t="s">
        <v>447</v>
      </c>
      <c r="H61" s="173" t="s">
        <v>610</v>
      </c>
      <c r="I61" s="176" t="s">
        <v>561</v>
      </c>
      <c r="J61" s="180">
        <v>450000</v>
      </c>
      <c r="K61" s="114">
        <v>246666</v>
      </c>
      <c r="L61" s="73">
        <v>46010</v>
      </c>
      <c r="M61" s="104">
        <f t="shared" si="2"/>
        <v>203334</v>
      </c>
      <c r="N61" s="221" t="s">
        <v>226</v>
      </c>
      <c r="O61" s="70">
        <v>450000</v>
      </c>
      <c r="P61" s="70">
        <v>246666</v>
      </c>
      <c r="Q61" s="227">
        <f t="shared" si="1"/>
        <v>203334</v>
      </c>
      <c r="R61" s="93" t="s">
        <v>917</v>
      </c>
      <c r="S61" s="93"/>
      <c r="T61" s="94"/>
      <c r="U61" s="98"/>
      <c r="V61" s="100"/>
      <c r="W61" s="98"/>
      <c r="X61" s="98"/>
      <c r="Y61" s="98"/>
      <c r="Z61" s="98"/>
      <c r="AA61" s="98"/>
      <c r="AB61" s="98"/>
      <c r="AC61" s="98"/>
    </row>
    <row r="62" spans="1:29" s="1" customFormat="1" ht="21" customHeight="1">
      <c r="A62" s="159" t="s">
        <v>831</v>
      </c>
      <c r="B62" s="40">
        <v>61</v>
      </c>
      <c r="C62" s="122">
        <v>46006</v>
      </c>
      <c r="D62" s="122">
        <v>46006</v>
      </c>
      <c r="E62" s="30" t="s">
        <v>456</v>
      </c>
      <c r="F62" s="59" t="s">
        <v>907</v>
      </c>
      <c r="G62" s="61" t="s">
        <v>457</v>
      </c>
      <c r="H62" s="17" t="s">
        <v>778</v>
      </c>
      <c r="I62" s="70" t="s">
        <v>783</v>
      </c>
      <c r="J62" s="179">
        <v>500000</v>
      </c>
      <c r="K62" s="114">
        <v>400000</v>
      </c>
      <c r="L62" s="73">
        <v>46015</v>
      </c>
      <c r="M62" s="104">
        <f t="shared" si="2"/>
        <v>100000</v>
      </c>
      <c r="N62" s="221" t="s">
        <v>226</v>
      </c>
      <c r="O62" s="70">
        <v>500000</v>
      </c>
      <c r="P62" s="70">
        <v>400000</v>
      </c>
      <c r="Q62" s="227">
        <f t="shared" si="1"/>
        <v>100000</v>
      </c>
      <c r="R62" s="93"/>
      <c r="S62" s="93"/>
      <c r="T62" s="94"/>
      <c r="U62" s="98"/>
      <c r="V62" s="100"/>
      <c r="W62" s="98"/>
      <c r="X62" s="98"/>
      <c r="Y62" s="98"/>
      <c r="Z62" s="98"/>
      <c r="AA62" s="98"/>
      <c r="AB62" s="98"/>
      <c r="AC62" s="98"/>
    </row>
    <row r="63" spans="1:29" s="1" customFormat="1" ht="21" customHeight="1">
      <c r="A63" s="159" t="s">
        <v>829</v>
      </c>
      <c r="B63" s="40">
        <v>62</v>
      </c>
      <c r="C63" s="122">
        <v>46015</v>
      </c>
      <c r="D63" s="122">
        <v>46015</v>
      </c>
      <c r="E63" s="30" t="s">
        <v>460</v>
      </c>
      <c r="F63" s="59" t="s">
        <v>929</v>
      </c>
      <c r="G63" s="61" t="s">
        <v>457</v>
      </c>
      <c r="H63" s="17" t="s">
        <v>902</v>
      </c>
      <c r="I63" s="70" t="s">
        <v>161</v>
      </c>
      <c r="J63" s="70">
        <v>4200000</v>
      </c>
      <c r="K63" s="114">
        <f>2500000-300000-200000</f>
        <v>2000000</v>
      </c>
      <c r="L63" s="73">
        <v>46022</v>
      </c>
      <c r="M63" s="112">
        <f t="shared" si="2"/>
        <v>2200000</v>
      </c>
      <c r="N63" s="221" t="s">
        <v>228</v>
      </c>
      <c r="O63" s="70">
        <v>4200000</v>
      </c>
      <c r="P63" s="70">
        <v>2000000</v>
      </c>
      <c r="Q63" s="227">
        <f t="shared" si="1"/>
        <v>2200000</v>
      </c>
      <c r="R63" s="93"/>
      <c r="S63" s="93"/>
      <c r="T63" s="94"/>
      <c r="U63" s="98"/>
      <c r="V63" s="100"/>
      <c r="W63" s="98"/>
      <c r="X63" s="98"/>
      <c r="Y63" s="98"/>
      <c r="Z63" s="98"/>
      <c r="AA63" s="98"/>
      <c r="AB63" s="98"/>
      <c r="AC63" s="98"/>
    </row>
    <row r="64" spans="1:29" s="1" customFormat="1" ht="21" customHeight="1">
      <c r="A64" s="159" t="s">
        <v>828</v>
      </c>
      <c r="B64" s="40">
        <v>63</v>
      </c>
      <c r="C64" s="122">
        <v>46006</v>
      </c>
      <c r="D64" s="122">
        <v>46006</v>
      </c>
      <c r="E64" s="30" t="s">
        <v>463</v>
      </c>
      <c r="F64" s="59" t="s">
        <v>907</v>
      </c>
      <c r="G64" s="61" t="s">
        <v>464</v>
      </c>
      <c r="H64" s="17" t="s">
        <v>465</v>
      </c>
      <c r="I64" s="70" t="s">
        <v>562</v>
      </c>
      <c r="J64" s="179">
        <v>320000</v>
      </c>
      <c r="K64" s="114"/>
      <c r="L64" s="73"/>
      <c r="M64" s="104">
        <f t="shared" si="2"/>
        <v>320000</v>
      </c>
      <c r="N64" s="221" t="s">
        <v>226</v>
      </c>
      <c r="O64" s="70">
        <v>320000</v>
      </c>
      <c r="P64" s="70"/>
      <c r="Q64" s="227">
        <f t="shared" si="1"/>
        <v>320000</v>
      </c>
      <c r="R64" s="93"/>
      <c r="S64" s="93"/>
      <c r="T64" s="94"/>
      <c r="U64" s="98"/>
      <c r="V64" s="100"/>
      <c r="W64" s="98"/>
      <c r="X64" s="98"/>
      <c r="Y64" s="98"/>
      <c r="Z64" s="98"/>
      <c r="AA64" s="98"/>
      <c r="AB64" s="98"/>
      <c r="AC64" s="98"/>
    </row>
    <row r="65" spans="1:29" s="1" customFormat="1" ht="21" customHeight="1">
      <c r="A65" s="159" t="s">
        <v>828</v>
      </c>
      <c r="B65" s="40">
        <v>64</v>
      </c>
      <c r="C65" s="122">
        <v>46006</v>
      </c>
      <c r="D65" s="122">
        <v>46006</v>
      </c>
      <c r="E65" s="30" t="s">
        <v>467</v>
      </c>
      <c r="F65" s="59" t="s">
        <v>907</v>
      </c>
      <c r="G65" s="61" t="s">
        <v>468</v>
      </c>
      <c r="H65" s="17" t="s">
        <v>469</v>
      </c>
      <c r="I65" s="70" t="s">
        <v>566</v>
      </c>
      <c r="J65" s="179">
        <v>300000</v>
      </c>
      <c r="K65" s="114"/>
      <c r="L65" s="73"/>
      <c r="M65" s="104">
        <f t="shared" si="2"/>
        <v>300000</v>
      </c>
      <c r="N65" s="221" t="s">
        <v>226</v>
      </c>
      <c r="O65" s="70">
        <v>300000</v>
      </c>
      <c r="P65" s="70"/>
      <c r="Q65" s="227">
        <f t="shared" si="1"/>
        <v>300000</v>
      </c>
      <c r="R65" s="93"/>
      <c r="S65" s="93"/>
      <c r="T65" s="94"/>
      <c r="U65" s="98"/>
      <c r="V65" s="100"/>
      <c r="W65" s="98"/>
      <c r="X65" s="98"/>
      <c r="Y65" s="98"/>
      <c r="Z65" s="98"/>
      <c r="AA65" s="98"/>
      <c r="AB65" s="98"/>
      <c r="AC65" s="98"/>
    </row>
    <row r="66" spans="1:29" s="1" customFormat="1" ht="21" customHeight="1">
      <c r="A66" s="159" t="s">
        <v>828</v>
      </c>
      <c r="B66" s="40">
        <v>65</v>
      </c>
      <c r="C66" s="122">
        <v>46006</v>
      </c>
      <c r="D66" s="122">
        <v>46006</v>
      </c>
      <c r="E66" s="30" t="s">
        <v>470</v>
      </c>
      <c r="F66" s="59" t="s">
        <v>907</v>
      </c>
      <c r="G66" s="61" t="s">
        <v>471</v>
      </c>
      <c r="H66" s="17" t="s">
        <v>472</v>
      </c>
      <c r="I66" s="70" t="s">
        <v>554</v>
      </c>
      <c r="J66" s="179">
        <f>400000</f>
        <v>400000</v>
      </c>
      <c r="K66" s="114"/>
      <c r="L66" s="73"/>
      <c r="M66" s="104">
        <f t="shared" si="2"/>
        <v>400000</v>
      </c>
      <c r="N66" s="221" t="s">
        <v>226</v>
      </c>
      <c r="O66" s="70">
        <v>400000</v>
      </c>
      <c r="P66" s="70"/>
      <c r="Q66" s="227">
        <f t="shared" si="1"/>
        <v>400000</v>
      </c>
      <c r="R66" s="93"/>
      <c r="S66" s="93"/>
      <c r="T66" s="94"/>
      <c r="U66" s="98"/>
      <c r="V66" s="100"/>
      <c r="W66" s="98"/>
      <c r="X66" s="98"/>
      <c r="Y66" s="98"/>
      <c r="Z66" s="98"/>
      <c r="AA66" s="98"/>
      <c r="AB66" s="98"/>
      <c r="AC66" s="98"/>
    </row>
    <row r="67" spans="1:29" s="1" customFormat="1" ht="21" customHeight="1">
      <c r="A67" s="159" t="s">
        <v>828</v>
      </c>
      <c r="B67" s="40">
        <v>66</v>
      </c>
      <c r="C67" s="122">
        <v>46006</v>
      </c>
      <c r="D67" s="122">
        <v>46006</v>
      </c>
      <c r="E67" s="30" t="s">
        <v>474</v>
      </c>
      <c r="F67" s="59" t="s">
        <v>907</v>
      </c>
      <c r="G67" s="61" t="s">
        <v>475</v>
      </c>
      <c r="H67" s="17" t="s">
        <v>872</v>
      </c>
      <c r="I67" s="70" t="s">
        <v>873</v>
      </c>
      <c r="J67" s="179">
        <f>850000+150000+800000-800000</f>
        <v>1000000</v>
      </c>
      <c r="K67" s="114"/>
      <c r="L67" s="73"/>
      <c r="M67" s="104">
        <f t="shared" ref="M67:M92" si="3">J67-K67</f>
        <v>1000000</v>
      </c>
      <c r="N67" s="221" t="s">
        <v>226</v>
      </c>
      <c r="O67" s="70">
        <v>1000000</v>
      </c>
      <c r="P67" s="70"/>
      <c r="Q67" s="227">
        <f t="shared" si="1"/>
        <v>1000000</v>
      </c>
      <c r="R67" s="93"/>
      <c r="S67" s="93"/>
      <c r="T67" s="94"/>
      <c r="U67" s="98"/>
      <c r="V67" s="100"/>
      <c r="W67" s="98"/>
      <c r="X67" s="98"/>
      <c r="Y67" s="98"/>
      <c r="Z67" s="98"/>
      <c r="AA67" s="98"/>
      <c r="AB67" s="98"/>
      <c r="AC67" s="98"/>
    </row>
    <row r="68" spans="1:29" s="1" customFormat="1" ht="21" customHeight="1">
      <c r="A68" s="159" t="s">
        <v>828</v>
      </c>
      <c r="B68" s="40">
        <v>67</v>
      </c>
      <c r="C68" s="122">
        <v>46006</v>
      </c>
      <c r="D68" s="122">
        <v>46006</v>
      </c>
      <c r="E68" s="30" t="s">
        <v>477</v>
      </c>
      <c r="F68" s="59" t="s">
        <v>907</v>
      </c>
      <c r="G68" s="61" t="s">
        <v>478</v>
      </c>
      <c r="H68" s="17" t="s">
        <v>479</v>
      </c>
      <c r="I68" s="70" t="s">
        <v>556</v>
      </c>
      <c r="J68" s="179">
        <v>500000</v>
      </c>
      <c r="K68" s="114"/>
      <c r="L68" s="73"/>
      <c r="M68" s="104">
        <f t="shared" si="3"/>
        <v>500000</v>
      </c>
      <c r="N68" s="221" t="s">
        <v>226</v>
      </c>
      <c r="O68" s="70">
        <v>500000</v>
      </c>
      <c r="P68" s="70"/>
      <c r="Q68" s="227">
        <f t="shared" ref="Q68:Q123" si="4">O68-P68</f>
        <v>500000</v>
      </c>
      <c r="R68" s="93"/>
      <c r="S68" s="93"/>
      <c r="T68" s="94"/>
      <c r="U68" s="98"/>
      <c r="V68" s="100"/>
      <c r="W68" s="98"/>
      <c r="X68" s="98"/>
      <c r="Y68" s="98"/>
      <c r="Z68" s="98"/>
      <c r="AA68" s="98"/>
      <c r="AB68" s="98"/>
      <c r="AC68" s="98"/>
    </row>
    <row r="69" spans="1:29" s="1" customFormat="1" ht="21" customHeight="1">
      <c r="A69" s="159" t="s">
        <v>828</v>
      </c>
      <c r="B69" s="40">
        <v>68</v>
      </c>
      <c r="C69" s="122">
        <v>46006</v>
      </c>
      <c r="D69" s="122">
        <v>46006</v>
      </c>
      <c r="E69" s="30" t="s">
        <v>483</v>
      </c>
      <c r="F69" s="59" t="s">
        <v>907</v>
      </c>
      <c r="G69" s="61" t="s">
        <v>481</v>
      </c>
      <c r="H69" s="17" t="s">
        <v>482</v>
      </c>
      <c r="I69" s="70" t="s">
        <v>687</v>
      </c>
      <c r="J69" s="179">
        <v>750000</v>
      </c>
      <c r="K69" s="114"/>
      <c r="L69" s="73"/>
      <c r="M69" s="104">
        <f t="shared" si="3"/>
        <v>750000</v>
      </c>
      <c r="N69" s="221" t="s">
        <v>226</v>
      </c>
      <c r="O69" s="70">
        <v>750000</v>
      </c>
      <c r="P69" s="70"/>
      <c r="Q69" s="227">
        <f t="shared" si="4"/>
        <v>750000</v>
      </c>
      <c r="R69" s="93"/>
      <c r="S69" s="93"/>
      <c r="T69" s="94"/>
      <c r="U69" s="98"/>
      <c r="V69" s="100"/>
      <c r="W69" s="98"/>
      <c r="X69" s="98"/>
      <c r="Y69" s="98"/>
      <c r="Z69" s="98"/>
      <c r="AA69" s="98"/>
      <c r="AB69" s="98"/>
      <c r="AC69" s="98"/>
    </row>
    <row r="70" spans="1:29" s="1" customFormat="1" ht="21" customHeight="1">
      <c r="A70" s="159" t="s">
        <v>828</v>
      </c>
      <c r="B70" s="40">
        <v>69</v>
      </c>
      <c r="C70" s="122">
        <v>46006</v>
      </c>
      <c r="D70" s="122">
        <v>46006</v>
      </c>
      <c r="E70" s="30" t="s">
        <v>484</v>
      </c>
      <c r="F70" s="59" t="s">
        <v>907</v>
      </c>
      <c r="G70" s="61" t="s">
        <v>485</v>
      </c>
      <c r="H70" s="17" t="s">
        <v>718</v>
      </c>
      <c r="I70" s="70" t="s">
        <v>619</v>
      </c>
      <c r="J70" s="179">
        <f>400000+100000</f>
        <v>500000</v>
      </c>
      <c r="K70" s="114"/>
      <c r="L70" s="73"/>
      <c r="M70" s="104">
        <f t="shared" si="3"/>
        <v>500000</v>
      </c>
      <c r="N70" s="221" t="s">
        <v>226</v>
      </c>
      <c r="O70" s="70">
        <v>500000</v>
      </c>
      <c r="P70" s="70"/>
      <c r="Q70" s="227">
        <f t="shared" si="4"/>
        <v>500000</v>
      </c>
      <c r="R70" s="93"/>
      <c r="S70" s="93"/>
      <c r="T70" s="94"/>
      <c r="U70" s="98"/>
      <c r="V70" s="100"/>
      <c r="W70" s="98"/>
      <c r="X70" s="98"/>
      <c r="Y70" s="98"/>
      <c r="Z70" s="98"/>
      <c r="AA70" s="98"/>
      <c r="AB70" s="98"/>
      <c r="AC70" s="98"/>
    </row>
    <row r="71" spans="1:29" s="1" customFormat="1" ht="21" customHeight="1">
      <c r="A71" s="159" t="s">
        <v>828</v>
      </c>
      <c r="B71" s="40">
        <v>70</v>
      </c>
      <c r="C71" s="122">
        <v>46006</v>
      </c>
      <c r="D71" s="122">
        <v>46006</v>
      </c>
      <c r="E71" s="30" t="s">
        <v>486</v>
      </c>
      <c r="F71" s="59" t="s">
        <v>907</v>
      </c>
      <c r="G71" s="61" t="s">
        <v>487</v>
      </c>
      <c r="H71" s="17" t="s">
        <v>488</v>
      </c>
      <c r="I71" s="70" t="s">
        <v>560</v>
      </c>
      <c r="J71" s="179">
        <v>400000</v>
      </c>
      <c r="K71" s="114"/>
      <c r="L71" s="73"/>
      <c r="M71" s="104">
        <f t="shared" si="3"/>
        <v>400000</v>
      </c>
      <c r="N71" s="221" t="s">
        <v>226</v>
      </c>
      <c r="O71" s="70">
        <v>400000</v>
      </c>
      <c r="P71" s="70"/>
      <c r="Q71" s="227">
        <f t="shared" si="4"/>
        <v>400000</v>
      </c>
      <c r="R71" s="93"/>
      <c r="S71" s="93"/>
      <c r="T71" s="94"/>
      <c r="U71" s="98"/>
      <c r="V71" s="100"/>
      <c r="W71" s="98"/>
      <c r="X71" s="98"/>
      <c r="Y71" s="98"/>
      <c r="Z71" s="98"/>
      <c r="AA71" s="98"/>
      <c r="AB71" s="98"/>
      <c r="AC71" s="98"/>
    </row>
    <row r="72" spans="1:29" s="1" customFormat="1" ht="21" customHeight="1">
      <c r="A72" s="159" t="s">
        <v>829</v>
      </c>
      <c r="B72" s="40">
        <v>71</v>
      </c>
      <c r="C72" s="122">
        <v>46006</v>
      </c>
      <c r="D72" s="122">
        <v>46006</v>
      </c>
      <c r="E72" s="30" t="s">
        <v>489</v>
      </c>
      <c r="F72" s="59" t="s">
        <v>907</v>
      </c>
      <c r="G72" s="61" t="s">
        <v>490</v>
      </c>
      <c r="H72" s="17" t="s">
        <v>491</v>
      </c>
      <c r="I72" s="70" t="s">
        <v>687</v>
      </c>
      <c r="J72" s="179">
        <v>300000</v>
      </c>
      <c r="K72" s="114"/>
      <c r="L72" s="73"/>
      <c r="M72" s="104">
        <f t="shared" si="3"/>
        <v>300000</v>
      </c>
      <c r="N72" s="221" t="s">
        <v>226</v>
      </c>
      <c r="O72" s="70">
        <v>300000</v>
      </c>
      <c r="P72" s="70"/>
      <c r="Q72" s="227">
        <f t="shared" si="4"/>
        <v>300000</v>
      </c>
      <c r="R72" s="93"/>
      <c r="S72" s="93"/>
      <c r="T72" s="94"/>
      <c r="U72" s="98"/>
      <c r="V72" s="100"/>
      <c r="W72" s="98"/>
      <c r="X72" s="98"/>
      <c r="Y72" s="98"/>
      <c r="Z72" s="98"/>
      <c r="AA72" s="98"/>
      <c r="AB72" s="98"/>
      <c r="AC72" s="98"/>
    </row>
    <row r="73" spans="1:29" s="1" customFormat="1" ht="21" customHeight="1">
      <c r="A73" s="159" t="s">
        <v>829</v>
      </c>
      <c r="B73" s="40">
        <v>72</v>
      </c>
      <c r="C73" s="122">
        <v>46006</v>
      </c>
      <c r="D73" s="122">
        <v>46006</v>
      </c>
      <c r="E73" s="30" t="s">
        <v>496</v>
      </c>
      <c r="F73" s="59" t="s">
        <v>907</v>
      </c>
      <c r="G73" s="61" t="s">
        <v>497</v>
      </c>
      <c r="H73" s="17" t="s">
        <v>620</v>
      </c>
      <c r="I73" s="70" t="s">
        <v>552</v>
      </c>
      <c r="J73" s="179">
        <f>650000-250000</f>
        <v>400000</v>
      </c>
      <c r="K73" s="114"/>
      <c r="L73" s="73"/>
      <c r="M73" s="104">
        <f t="shared" si="3"/>
        <v>400000</v>
      </c>
      <c r="N73" s="221" t="s">
        <v>226</v>
      </c>
      <c r="O73" s="70">
        <v>400000</v>
      </c>
      <c r="P73" s="70"/>
      <c r="Q73" s="227">
        <f t="shared" si="4"/>
        <v>400000</v>
      </c>
      <c r="R73" s="93"/>
      <c r="S73" s="93"/>
      <c r="T73" s="94"/>
      <c r="U73" s="98"/>
      <c r="V73" s="100"/>
      <c r="W73" s="98"/>
      <c r="X73" s="98"/>
      <c r="Y73" s="98"/>
      <c r="Z73" s="98"/>
      <c r="AA73" s="98"/>
      <c r="AB73" s="98"/>
      <c r="AC73" s="98"/>
    </row>
    <row r="74" spans="1:29" s="1" customFormat="1" ht="21" customHeight="1">
      <c r="A74" s="159" t="s">
        <v>828</v>
      </c>
      <c r="B74" s="40">
        <v>73</v>
      </c>
      <c r="C74" s="122">
        <v>46006</v>
      </c>
      <c r="D74" s="122">
        <v>46006</v>
      </c>
      <c r="E74" s="30" t="s">
        <v>504</v>
      </c>
      <c r="F74" s="59" t="s">
        <v>907</v>
      </c>
      <c r="G74" s="61" t="s">
        <v>505</v>
      </c>
      <c r="H74" s="17" t="s">
        <v>846</v>
      </c>
      <c r="I74" s="70" t="s">
        <v>564</v>
      </c>
      <c r="J74" s="179">
        <f>380000+220000</f>
        <v>600000</v>
      </c>
      <c r="K74" s="114"/>
      <c r="L74" s="204"/>
      <c r="M74" s="104">
        <f t="shared" si="3"/>
        <v>600000</v>
      </c>
      <c r="N74" s="221" t="s">
        <v>226</v>
      </c>
      <c r="O74" s="70">
        <v>600000</v>
      </c>
      <c r="P74" s="70"/>
      <c r="Q74" s="227">
        <f t="shared" si="4"/>
        <v>600000</v>
      </c>
      <c r="R74" s="93"/>
      <c r="S74" s="93"/>
      <c r="T74" s="94"/>
      <c r="U74" s="98"/>
      <c r="V74" s="100"/>
      <c r="W74" s="98"/>
      <c r="X74" s="98"/>
      <c r="Y74" s="98"/>
      <c r="Z74" s="98"/>
      <c r="AA74" s="98"/>
      <c r="AB74" s="98"/>
      <c r="AC74" s="98"/>
    </row>
    <row r="75" spans="1:29" s="1" customFormat="1" ht="21" customHeight="1">
      <c r="A75" s="159" t="s">
        <v>828</v>
      </c>
      <c r="B75" s="40">
        <v>74</v>
      </c>
      <c r="C75" s="120">
        <v>46006</v>
      </c>
      <c r="D75" s="120">
        <v>46006</v>
      </c>
      <c r="E75" s="174" t="s">
        <v>506</v>
      </c>
      <c r="F75" s="171" t="s">
        <v>907</v>
      </c>
      <c r="G75" s="175" t="s">
        <v>507</v>
      </c>
      <c r="H75" s="173" t="s">
        <v>664</v>
      </c>
      <c r="I75" s="176" t="s">
        <v>564</v>
      </c>
      <c r="J75" s="180">
        <f>1400000+100000</f>
        <v>1500000</v>
      </c>
      <c r="K75" s="114"/>
      <c r="L75" s="73"/>
      <c r="M75" s="104">
        <f t="shared" si="3"/>
        <v>1500000</v>
      </c>
      <c r="N75" s="221" t="s">
        <v>611</v>
      </c>
      <c r="O75" s="70">
        <v>1500000</v>
      </c>
      <c r="P75" s="70"/>
      <c r="Q75" s="227">
        <f t="shared" si="4"/>
        <v>1500000</v>
      </c>
      <c r="R75" s="93" t="s">
        <v>789</v>
      </c>
      <c r="S75" s="93"/>
      <c r="T75" s="94"/>
      <c r="U75" s="98"/>
      <c r="V75" s="100"/>
      <c r="W75" s="98"/>
      <c r="X75" s="98"/>
      <c r="Y75" s="98"/>
      <c r="Z75" s="98"/>
      <c r="AA75" s="98"/>
      <c r="AB75" s="98"/>
      <c r="AC75" s="98"/>
    </row>
    <row r="76" spans="1:29" s="1" customFormat="1" ht="21" customHeight="1">
      <c r="A76" s="159" t="s">
        <v>828</v>
      </c>
      <c r="B76" s="40">
        <v>75</v>
      </c>
      <c r="C76" s="122">
        <v>46006</v>
      </c>
      <c r="D76" s="122">
        <v>46006</v>
      </c>
      <c r="E76" s="30" t="s">
        <v>550</v>
      </c>
      <c r="F76" s="59" t="s">
        <v>907</v>
      </c>
      <c r="G76" s="61" t="s">
        <v>513</v>
      </c>
      <c r="H76" s="17" t="s">
        <v>898</v>
      </c>
      <c r="I76" s="70" t="s">
        <v>899</v>
      </c>
      <c r="J76" s="179">
        <f>200000+300000</f>
        <v>500000</v>
      </c>
      <c r="K76" s="114"/>
      <c r="L76" s="204"/>
      <c r="M76" s="104">
        <f t="shared" si="3"/>
        <v>500000</v>
      </c>
      <c r="N76" s="221" t="s">
        <v>226</v>
      </c>
      <c r="O76" s="70">
        <v>500000</v>
      </c>
      <c r="P76" s="70"/>
      <c r="Q76" s="227">
        <f t="shared" si="4"/>
        <v>500000</v>
      </c>
      <c r="R76" s="93"/>
      <c r="S76" s="93"/>
      <c r="T76" s="94"/>
      <c r="U76" s="98"/>
      <c r="V76" s="100"/>
      <c r="W76" s="98"/>
      <c r="X76" s="98"/>
      <c r="Y76" s="98"/>
      <c r="Z76" s="98"/>
      <c r="AA76" s="98"/>
      <c r="AB76" s="98"/>
      <c r="AC76" s="98"/>
    </row>
    <row r="77" spans="1:29" s="1" customFormat="1" ht="21" customHeight="1">
      <c r="A77" s="159" t="s">
        <v>828</v>
      </c>
      <c r="B77" s="40">
        <v>76</v>
      </c>
      <c r="C77" s="122">
        <v>46006</v>
      </c>
      <c r="D77" s="122">
        <v>46006</v>
      </c>
      <c r="E77" s="30" t="s">
        <v>184</v>
      </c>
      <c r="F77" s="59" t="s">
        <v>907</v>
      </c>
      <c r="G77" s="61" t="s">
        <v>536</v>
      </c>
      <c r="H77" s="17" t="s">
        <v>867</v>
      </c>
      <c r="I77" s="70" t="s">
        <v>386</v>
      </c>
      <c r="J77" s="70">
        <f>950000</f>
        <v>950000</v>
      </c>
      <c r="K77" s="114"/>
      <c r="L77" s="73"/>
      <c r="M77" s="104">
        <f t="shared" si="3"/>
        <v>950000</v>
      </c>
      <c r="N77" s="221" t="s">
        <v>226</v>
      </c>
      <c r="O77" s="70">
        <v>950000</v>
      </c>
      <c r="P77" s="70"/>
      <c r="Q77" s="227">
        <f t="shared" si="4"/>
        <v>950000</v>
      </c>
      <c r="R77" s="93"/>
      <c r="S77" s="93"/>
      <c r="T77" s="94"/>
      <c r="U77" s="98"/>
      <c r="V77" s="100"/>
      <c r="W77" s="98"/>
      <c r="X77" s="98"/>
      <c r="Y77" s="98"/>
      <c r="Z77" s="98"/>
      <c r="AA77" s="98"/>
      <c r="AB77" s="98"/>
      <c r="AC77" s="98"/>
    </row>
    <row r="78" spans="1:29" s="1" customFormat="1" ht="21" customHeight="1">
      <c r="A78" s="159" t="s">
        <v>829</v>
      </c>
      <c r="B78" s="40">
        <v>77</v>
      </c>
      <c r="C78" s="122">
        <v>46006</v>
      </c>
      <c r="D78" s="122">
        <v>46006</v>
      </c>
      <c r="E78" s="30" t="s">
        <v>569</v>
      </c>
      <c r="F78" s="59" t="s">
        <v>907</v>
      </c>
      <c r="G78" s="61" t="s">
        <v>570</v>
      </c>
      <c r="H78" s="17" t="s">
        <v>571</v>
      </c>
      <c r="I78" s="70" t="s">
        <v>567</v>
      </c>
      <c r="J78" s="70">
        <f>300000-50000</f>
        <v>250000</v>
      </c>
      <c r="K78" s="114"/>
      <c r="L78" s="73"/>
      <c r="M78" s="104">
        <f t="shared" si="3"/>
        <v>250000</v>
      </c>
      <c r="N78" s="221" t="s">
        <v>226</v>
      </c>
      <c r="O78" s="70">
        <v>250000</v>
      </c>
      <c r="P78" s="70"/>
      <c r="Q78" s="227">
        <f t="shared" si="4"/>
        <v>250000</v>
      </c>
      <c r="R78" s="93"/>
      <c r="S78" s="93"/>
      <c r="T78" s="94"/>
      <c r="U78" s="98"/>
      <c r="V78" s="100"/>
      <c r="W78" s="98"/>
      <c r="X78" s="98"/>
      <c r="Y78" s="98"/>
      <c r="Z78" s="98"/>
      <c r="AA78" s="98"/>
      <c r="AB78" s="98"/>
      <c r="AC78" s="98"/>
    </row>
    <row r="79" spans="1:29" s="1" customFormat="1" ht="21" customHeight="1">
      <c r="A79" s="159" t="s">
        <v>828</v>
      </c>
      <c r="B79" s="40">
        <v>78</v>
      </c>
      <c r="C79" s="122">
        <v>46006</v>
      </c>
      <c r="D79" s="122">
        <v>46006</v>
      </c>
      <c r="E79" s="30" t="s">
        <v>572</v>
      </c>
      <c r="F79" s="59" t="s">
        <v>907</v>
      </c>
      <c r="G79" s="61" t="s">
        <v>570</v>
      </c>
      <c r="H79" s="17" t="s">
        <v>571</v>
      </c>
      <c r="I79" s="70" t="s">
        <v>567</v>
      </c>
      <c r="J79" s="70">
        <v>300000</v>
      </c>
      <c r="K79" s="114"/>
      <c r="L79" s="73"/>
      <c r="M79" s="104">
        <f t="shared" si="3"/>
        <v>300000</v>
      </c>
      <c r="N79" s="221" t="s">
        <v>226</v>
      </c>
      <c r="O79" s="70">
        <v>300000</v>
      </c>
      <c r="P79" s="70"/>
      <c r="Q79" s="227">
        <f t="shared" si="4"/>
        <v>300000</v>
      </c>
      <c r="R79" s="93"/>
      <c r="S79" s="93"/>
      <c r="T79" s="94"/>
      <c r="U79" s="98"/>
      <c r="V79" s="100"/>
      <c r="W79" s="98"/>
      <c r="X79" s="98"/>
      <c r="Y79" s="98"/>
      <c r="Z79" s="98"/>
      <c r="AA79" s="98"/>
      <c r="AB79" s="98"/>
      <c r="AC79" s="98"/>
    </row>
    <row r="80" spans="1:29" s="1" customFormat="1" ht="21" customHeight="1">
      <c r="A80" s="159" t="s">
        <v>828</v>
      </c>
      <c r="B80" s="40">
        <v>79</v>
      </c>
      <c r="C80" s="122">
        <v>46022</v>
      </c>
      <c r="D80" s="122">
        <v>46022</v>
      </c>
      <c r="E80" s="30" t="s">
        <v>576</v>
      </c>
      <c r="F80" s="59" t="s">
        <v>907</v>
      </c>
      <c r="G80" s="61" t="s">
        <v>577</v>
      </c>
      <c r="H80" s="17" t="s">
        <v>578</v>
      </c>
      <c r="I80" s="70" t="s">
        <v>383</v>
      </c>
      <c r="J80" s="70">
        <f>500000</f>
        <v>500000</v>
      </c>
      <c r="K80" s="114"/>
      <c r="L80" s="73"/>
      <c r="M80" s="104">
        <f t="shared" si="3"/>
        <v>500000</v>
      </c>
      <c r="N80" s="221" t="s">
        <v>139</v>
      </c>
      <c r="O80" s="70">
        <v>500000</v>
      </c>
      <c r="P80" s="70"/>
      <c r="Q80" s="227">
        <f t="shared" si="4"/>
        <v>500000</v>
      </c>
      <c r="R80" s="93"/>
      <c r="S80" s="93"/>
      <c r="T80" s="94"/>
      <c r="U80" s="98"/>
      <c r="V80" s="100"/>
      <c r="W80" s="98"/>
      <c r="X80" s="98"/>
      <c r="Y80" s="98"/>
      <c r="Z80" s="98"/>
      <c r="AA80" s="98"/>
      <c r="AB80" s="98"/>
      <c r="AC80" s="98"/>
    </row>
    <row r="81" spans="1:29" s="1" customFormat="1" ht="21" customHeight="1">
      <c r="A81" s="159" t="s">
        <v>828</v>
      </c>
      <c r="B81" s="40">
        <v>80</v>
      </c>
      <c r="C81" s="122">
        <v>46006</v>
      </c>
      <c r="D81" s="122">
        <v>46006</v>
      </c>
      <c r="E81" s="30" t="s">
        <v>588</v>
      </c>
      <c r="F81" s="59" t="s">
        <v>907</v>
      </c>
      <c r="G81" s="61" t="s">
        <v>589</v>
      </c>
      <c r="H81" s="17" t="s">
        <v>821</v>
      </c>
      <c r="I81" s="70" t="s">
        <v>619</v>
      </c>
      <c r="J81" s="70">
        <f>250000+100000</f>
        <v>350000</v>
      </c>
      <c r="K81" s="114"/>
      <c r="L81" s="73"/>
      <c r="M81" s="104">
        <f>J81-K81</f>
        <v>350000</v>
      </c>
      <c r="N81" s="221" t="s">
        <v>226</v>
      </c>
      <c r="O81" s="70">
        <v>350000</v>
      </c>
      <c r="P81" s="70"/>
      <c r="Q81" s="227">
        <f t="shared" si="4"/>
        <v>350000</v>
      </c>
      <c r="R81" s="93"/>
      <c r="S81" s="93"/>
      <c r="T81" s="94"/>
      <c r="U81" s="98"/>
      <c r="V81" s="100"/>
      <c r="W81" s="98"/>
      <c r="X81" s="98"/>
      <c r="Y81" s="98"/>
      <c r="Z81" s="98"/>
      <c r="AA81" s="98"/>
      <c r="AB81" s="98"/>
      <c r="AC81" s="98"/>
    </row>
    <row r="82" spans="1:29" s="1" customFormat="1" ht="21" customHeight="1">
      <c r="A82" s="159" t="s">
        <v>828</v>
      </c>
      <c r="B82" s="40">
        <v>81</v>
      </c>
      <c r="C82" s="122">
        <v>46006</v>
      </c>
      <c r="D82" s="122">
        <v>46006</v>
      </c>
      <c r="E82" s="30" t="s">
        <v>617</v>
      </c>
      <c r="F82" s="59" t="s">
        <v>907</v>
      </c>
      <c r="G82" s="61" t="s">
        <v>618</v>
      </c>
      <c r="H82" s="17" t="s">
        <v>826</v>
      </c>
      <c r="I82" s="70" t="s">
        <v>619</v>
      </c>
      <c r="J82" s="70">
        <f>400000-50000</f>
        <v>350000</v>
      </c>
      <c r="K82" s="114"/>
      <c r="L82" s="73"/>
      <c r="M82" s="104">
        <f t="shared" si="3"/>
        <v>350000</v>
      </c>
      <c r="N82" s="221" t="s">
        <v>226</v>
      </c>
      <c r="O82" s="70">
        <v>350000</v>
      </c>
      <c r="P82" s="70"/>
      <c r="Q82" s="227">
        <f t="shared" si="4"/>
        <v>350000</v>
      </c>
      <c r="R82" s="185"/>
      <c r="S82" s="93"/>
      <c r="T82" s="94"/>
      <c r="U82" s="98"/>
      <c r="V82" s="100"/>
      <c r="W82" s="98"/>
      <c r="X82" s="98"/>
      <c r="Y82" s="98"/>
      <c r="Z82" s="98"/>
      <c r="AA82" s="98"/>
      <c r="AB82" s="98"/>
      <c r="AC82" s="98"/>
    </row>
    <row r="83" spans="1:29" s="1" customFormat="1" ht="21" customHeight="1">
      <c r="A83" s="159" t="s">
        <v>829</v>
      </c>
      <c r="B83" s="40">
        <v>82</v>
      </c>
      <c r="C83" s="122">
        <v>46006</v>
      </c>
      <c r="D83" s="122">
        <v>46006</v>
      </c>
      <c r="E83" s="30" t="s">
        <v>647</v>
      </c>
      <c r="F83" s="59" t="s">
        <v>907</v>
      </c>
      <c r="G83" s="61" t="s">
        <v>621</v>
      </c>
      <c r="H83" s="17" t="s">
        <v>718</v>
      </c>
      <c r="I83" s="70" t="s">
        <v>619</v>
      </c>
      <c r="J83" s="179">
        <f>300000+300000-200000</f>
        <v>400000</v>
      </c>
      <c r="K83" s="114"/>
      <c r="L83" s="113"/>
      <c r="M83" s="104">
        <f t="shared" si="3"/>
        <v>400000</v>
      </c>
      <c r="N83" s="220" t="s">
        <v>226</v>
      </c>
      <c r="O83" s="70">
        <v>400000</v>
      </c>
      <c r="P83" s="70"/>
      <c r="Q83" s="227">
        <f t="shared" si="4"/>
        <v>400000</v>
      </c>
      <c r="R83" s="93"/>
      <c r="S83" s="96"/>
      <c r="T83" s="94"/>
      <c r="U83" s="98"/>
      <c r="V83" s="100"/>
      <c r="W83" s="98"/>
      <c r="X83" s="98"/>
      <c r="Y83" s="98"/>
      <c r="Z83" s="98"/>
      <c r="AA83" s="98"/>
      <c r="AB83" s="98"/>
      <c r="AC83" s="98"/>
    </row>
    <row r="84" spans="1:29" s="1" customFormat="1" ht="21" customHeight="1">
      <c r="A84" s="159" t="s">
        <v>828</v>
      </c>
      <c r="B84" s="40">
        <v>83</v>
      </c>
      <c r="C84" s="122">
        <v>46006</v>
      </c>
      <c r="D84" s="122">
        <v>46006</v>
      </c>
      <c r="E84" s="30" t="s">
        <v>622</v>
      </c>
      <c r="F84" s="59" t="s">
        <v>907</v>
      </c>
      <c r="G84" s="61" t="s">
        <v>621</v>
      </c>
      <c r="H84" s="17" t="s">
        <v>620</v>
      </c>
      <c r="I84" s="70" t="s">
        <v>619</v>
      </c>
      <c r="J84" s="70">
        <v>650000</v>
      </c>
      <c r="K84" s="114"/>
      <c r="L84" s="73"/>
      <c r="M84" s="104">
        <f t="shared" si="3"/>
        <v>650000</v>
      </c>
      <c r="N84" s="221" t="s">
        <v>226</v>
      </c>
      <c r="O84" s="70">
        <v>650000</v>
      </c>
      <c r="P84" s="70"/>
      <c r="Q84" s="227">
        <f t="shared" si="4"/>
        <v>650000</v>
      </c>
      <c r="R84" s="93"/>
      <c r="S84" s="93"/>
      <c r="T84" s="94"/>
      <c r="U84" s="98"/>
      <c r="V84" s="100"/>
      <c r="W84" s="98"/>
      <c r="X84" s="98"/>
      <c r="Y84" s="98"/>
      <c r="Z84" s="98"/>
      <c r="AA84" s="98"/>
      <c r="AB84" s="98"/>
      <c r="AC84" s="98"/>
    </row>
    <row r="85" spans="1:29" s="1" customFormat="1" ht="21" customHeight="1">
      <c r="A85" s="159" t="s">
        <v>829</v>
      </c>
      <c r="B85" s="40">
        <v>84</v>
      </c>
      <c r="C85" s="122">
        <v>46006</v>
      </c>
      <c r="D85" s="122">
        <v>46006</v>
      </c>
      <c r="E85" s="30" t="s">
        <v>453</v>
      </c>
      <c r="F85" s="59" t="s">
        <v>907</v>
      </c>
      <c r="G85" s="61" t="s">
        <v>621</v>
      </c>
      <c r="H85" s="17" t="s">
        <v>620</v>
      </c>
      <c r="I85" s="70" t="s">
        <v>619</v>
      </c>
      <c r="J85" s="70">
        <v>350000</v>
      </c>
      <c r="K85" s="114">
        <v>120000</v>
      </c>
      <c r="L85" s="73">
        <v>46006</v>
      </c>
      <c r="M85" s="104">
        <f t="shared" si="3"/>
        <v>230000</v>
      </c>
      <c r="N85" s="221" t="s">
        <v>226</v>
      </c>
      <c r="O85" s="70">
        <v>350000</v>
      </c>
      <c r="P85" s="70">
        <v>120000</v>
      </c>
      <c r="Q85" s="227">
        <f t="shared" si="4"/>
        <v>230000</v>
      </c>
      <c r="R85" s="93"/>
      <c r="S85" s="93"/>
      <c r="T85" s="94"/>
      <c r="U85" s="98"/>
      <c r="V85" s="100"/>
      <c r="W85" s="98"/>
      <c r="X85" s="98"/>
      <c r="Y85" s="98"/>
      <c r="Z85" s="98"/>
      <c r="AA85" s="98"/>
      <c r="AB85" s="98"/>
      <c r="AC85" s="98"/>
    </row>
    <row r="86" spans="1:29" s="1" customFormat="1" ht="21" customHeight="1">
      <c r="A86" s="159" t="s">
        <v>828</v>
      </c>
      <c r="B86" s="40">
        <v>85</v>
      </c>
      <c r="C86" s="122">
        <v>46006</v>
      </c>
      <c r="D86" s="122">
        <v>46006</v>
      </c>
      <c r="E86" s="30" t="s">
        <v>626</v>
      </c>
      <c r="F86" s="59" t="s">
        <v>907</v>
      </c>
      <c r="G86" s="61" t="s">
        <v>627</v>
      </c>
      <c r="H86" s="17" t="s">
        <v>821</v>
      </c>
      <c r="I86" s="70" t="s">
        <v>95</v>
      </c>
      <c r="J86" s="70">
        <f>400000+200000</f>
        <v>600000</v>
      </c>
      <c r="K86" s="114"/>
      <c r="L86" s="73"/>
      <c r="M86" s="104">
        <f t="shared" si="3"/>
        <v>600000</v>
      </c>
      <c r="N86" s="221" t="s">
        <v>226</v>
      </c>
      <c r="O86" s="70">
        <v>600000</v>
      </c>
      <c r="P86" s="70"/>
      <c r="Q86" s="227">
        <f t="shared" si="4"/>
        <v>600000</v>
      </c>
      <c r="R86" s="185"/>
      <c r="S86" s="93"/>
      <c r="T86" s="94"/>
      <c r="U86" s="98"/>
      <c r="V86" s="100"/>
      <c r="W86" s="98"/>
      <c r="X86" s="98"/>
      <c r="Y86" s="98"/>
      <c r="Z86" s="98"/>
      <c r="AA86" s="98"/>
      <c r="AB86" s="98"/>
      <c r="AC86" s="98"/>
    </row>
    <row r="87" spans="1:29" s="1" customFormat="1" ht="21" customHeight="1">
      <c r="A87" s="159" t="s">
        <v>829</v>
      </c>
      <c r="B87" s="40">
        <v>86</v>
      </c>
      <c r="C87" s="122">
        <v>46016</v>
      </c>
      <c r="D87" s="122">
        <v>46017</v>
      </c>
      <c r="E87" s="30" t="s">
        <v>634</v>
      </c>
      <c r="F87" s="59" t="s">
        <v>911</v>
      </c>
      <c r="G87" s="61" t="s">
        <v>621</v>
      </c>
      <c r="H87" s="17" t="s">
        <v>778</v>
      </c>
      <c r="I87" s="70" t="s">
        <v>834</v>
      </c>
      <c r="J87" s="70">
        <f>2740000</f>
        <v>2740000</v>
      </c>
      <c r="K87" s="114">
        <f>750000</f>
        <v>750000</v>
      </c>
      <c r="L87" s="73">
        <v>46015</v>
      </c>
      <c r="M87" s="105">
        <f t="shared" si="3"/>
        <v>1990000</v>
      </c>
      <c r="N87" s="221" t="s">
        <v>228</v>
      </c>
      <c r="O87" s="70">
        <v>2740000</v>
      </c>
      <c r="P87" s="70">
        <v>750000</v>
      </c>
      <c r="Q87" s="227">
        <f t="shared" si="4"/>
        <v>1990000</v>
      </c>
      <c r="R87" s="205" t="s">
        <v>935</v>
      </c>
      <c r="S87" s="93"/>
      <c r="T87" s="94"/>
      <c r="U87" s="98"/>
      <c r="V87" s="100"/>
      <c r="W87" s="98"/>
      <c r="X87" s="98"/>
      <c r="Y87" s="98"/>
      <c r="Z87" s="98"/>
      <c r="AA87" s="98"/>
      <c r="AB87" s="98"/>
      <c r="AC87" s="98"/>
    </row>
    <row r="88" spans="1:29" s="1" customFormat="1" ht="21" customHeight="1">
      <c r="A88" s="159" t="s">
        <v>829</v>
      </c>
      <c r="B88" s="40">
        <v>87</v>
      </c>
      <c r="C88" s="120">
        <v>46006</v>
      </c>
      <c r="D88" s="120">
        <v>46006</v>
      </c>
      <c r="E88" s="30" t="s">
        <v>639</v>
      </c>
      <c r="F88" s="59" t="s">
        <v>912</v>
      </c>
      <c r="G88" s="61" t="s">
        <v>640</v>
      </c>
      <c r="H88" s="17" t="s">
        <v>641</v>
      </c>
      <c r="I88" s="70" t="s">
        <v>642</v>
      </c>
      <c r="J88" s="179">
        <f>400000+100000</f>
        <v>500000</v>
      </c>
      <c r="K88" s="114"/>
      <c r="L88" s="73"/>
      <c r="M88" s="104">
        <f t="shared" si="3"/>
        <v>500000</v>
      </c>
      <c r="N88" s="221" t="s">
        <v>611</v>
      </c>
      <c r="O88" s="70">
        <v>500000</v>
      </c>
      <c r="P88" s="70"/>
      <c r="Q88" s="227">
        <f t="shared" si="4"/>
        <v>500000</v>
      </c>
      <c r="R88" s="93"/>
      <c r="S88" s="93"/>
      <c r="T88" s="94"/>
      <c r="U88" s="98"/>
      <c r="V88" s="100"/>
      <c r="W88" s="98"/>
      <c r="X88" s="98"/>
      <c r="Y88" s="98"/>
      <c r="Z88" s="98"/>
      <c r="AA88" s="98"/>
      <c r="AB88" s="98"/>
      <c r="AC88" s="98"/>
    </row>
    <row r="89" spans="1:29" s="1" customFormat="1" ht="21" customHeight="1">
      <c r="A89" s="159" t="s">
        <v>828</v>
      </c>
      <c r="B89" s="40">
        <v>88</v>
      </c>
      <c r="C89" s="122">
        <v>46006</v>
      </c>
      <c r="D89" s="122">
        <v>46006</v>
      </c>
      <c r="E89" s="174" t="s">
        <v>644</v>
      </c>
      <c r="F89" s="171" t="s">
        <v>907</v>
      </c>
      <c r="G89" s="175" t="s">
        <v>640</v>
      </c>
      <c r="H89" s="173" t="s">
        <v>641</v>
      </c>
      <c r="I89" s="176" t="s">
        <v>646</v>
      </c>
      <c r="J89" s="176">
        <v>350000</v>
      </c>
      <c r="K89" s="114"/>
      <c r="L89" s="73"/>
      <c r="M89" s="104">
        <f t="shared" si="3"/>
        <v>350000</v>
      </c>
      <c r="N89" s="221" t="s">
        <v>643</v>
      </c>
      <c r="O89" s="70">
        <v>350000</v>
      </c>
      <c r="P89" s="70"/>
      <c r="Q89" s="227">
        <f t="shared" si="4"/>
        <v>350000</v>
      </c>
      <c r="R89" s="93" t="s">
        <v>661</v>
      </c>
      <c r="S89" s="93"/>
      <c r="T89" s="94"/>
      <c r="U89" s="98"/>
      <c r="V89" s="100"/>
      <c r="W89" s="98"/>
      <c r="X89" s="98"/>
      <c r="Y89" s="98"/>
      <c r="Z89" s="98"/>
      <c r="AA89" s="98"/>
      <c r="AB89" s="98"/>
      <c r="AC89" s="98"/>
    </row>
    <row r="90" spans="1:29" s="1" customFormat="1" ht="21" customHeight="1">
      <c r="A90" s="159" t="s">
        <v>829</v>
      </c>
      <c r="B90" s="40">
        <v>91</v>
      </c>
      <c r="C90" s="122">
        <v>46022</v>
      </c>
      <c r="D90" s="122">
        <v>46028</v>
      </c>
      <c r="E90" s="30" t="s">
        <v>140</v>
      </c>
      <c r="F90" s="193" t="s">
        <v>895</v>
      </c>
      <c r="G90" s="61" t="s">
        <v>631</v>
      </c>
      <c r="H90" s="17" t="s">
        <v>632</v>
      </c>
      <c r="I90" s="70" t="s">
        <v>687</v>
      </c>
      <c r="J90" s="70">
        <v>7672500</v>
      </c>
      <c r="K90" s="114"/>
      <c r="L90" s="198" t="s">
        <v>896</v>
      </c>
      <c r="M90" s="177">
        <f t="shared" si="3"/>
        <v>7672500</v>
      </c>
      <c r="N90" s="222" t="s">
        <v>666</v>
      </c>
      <c r="O90" s="70">
        <v>2549443</v>
      </c>
      <c r="P90" s="70">
        <v>0</v>
      </c>
      <c r="Q90" s="227">
        <f t="shared" si="4"/>
        <v>2549443</v>
      </c>
      <c r="R90" s="93" t="s">
        <v>680</v>
      </c>
      <c r="S90" s="93"/>
      <c r="T90" s="94"/>
      <c r="U90" s="98"/>
      <c r="V90" s="100"/>
      <c r="W90" s="98"/>
      <c r="X90" s="98"/>
      <c r="Y90" s="98"/>
      <c r="Z90" s="98"/>
      <c r="AA90" s="98"/>
      <c r="AB90" s="98"/>
      <c r="AC90" s="98"/>
    </row>
    <row r="91" spans="1:29" s="1" customFormat="1" ht="21" customHeight="1">
      <c r="A91" s="159" t="s">
        <v>829</v>
      </c>
      <c r="B91" s="40">
        <v>92</v>
      </c>
      <c r="C91" s="122">
        <v>46006</v>
      </c>
      <c r="D91" s="122">
        <v>46006</v>
      </c>
      <c r="E91" s="30" t="s">
        <v>667</v>
      </c>
      <c r="F91" s="59" t="s">
        <v>907</v>
      </c>
      <c r="G91" s="61" t="s">
        <v>668</v>
      </c>
      <c r="H91" s="17" t="s">
        <v>669</v>
      </c>
      <c r="I91" s="70" t="s">
        <v>160</v>
      </c>
      <c r="J91" s="70">
        <f>400000</f>
        <v>400000</v>
      </c>
      <c r="K91" s="114"/>
      <c r="L91" s="113"/>
      <c r="M91" s="104">
        <f t="shared" si="3"/>
        <v>400000</v>
      </c>
      <c r="N91" s="221" t="s">
        <v>226</v>
      </c>
      <c r="O91" s="70">
        <v>400000</v>
      </c>
      <c r="P91" s="70"/>
      <c r="Q91" s="227">
        <f t="shared" si="4"/>
        <v>400000</v>
      </c>
      <c r="R91" s="93"/>
      <c r="S91" s="93"/>
      <c r="T91" s="94"/>
      <c r="U91" s="98"/>
      <c r="V91" s="100"/>
      <c r="W91" s="98"/>
      <c r="X91" s="98"/>
      <c r="Y91" s="98"/>
      <c r="Z91" s="98"/>
      <c r="AA91" s="98"/>
      <c r="AB91" s="98"/>
      <c r="AC91" s="98"/>
    </row>
    <row r="92" spans="1:29" s="1" customFormat="1" ht="21" customHeight="1">
      <c r="A92" s="159" t="s">
        <v>828</v>
      </c>
      <c r="B92" s="40">
        <v>93</v>
      </c>
      <c r="C92" s="122">
        <v>46006</v>
      </c>
      <c r="D92" s="122">
        <v>46006</v>
      </c>
      <c r="E92" s="30" t="s">
        <v>671</v>
      </c>
      <c r="F92" s="59" t="s">
        <v>907</v>
      </c>
      <c r="G92" s="61" t="s">
        <v>672</v>
      </c>
      <c r="H92" s="17" t="s">
        <v>673</v>
      </c>
      <c r="I92" s="70" t="s">
        <v>383</v>
      </c>
      <c r="J92" s="70">
        <v>150000</v>
      </c>
      <c r="K92" s="114"/>
      <c r="L92" s="113"/>
      <c r="M92" s="104">
        <f t="shared" si="3"/>
        <v>150000</v>
      </c>
      <c r="N92" s="221" t="s">
        <v>226</v>
      </c>
      <c r="O92" s="70">
        <v>150000</v>
      </c>
      <c r="P92" s="70"/>
      <c r="Q92" s="227">
        <f t="shared" si="4"/>
        <v>150000</v>
      </c>
      <c r="R92" s="93"/>
      <c r="S92" s="93"/>
      <c r="T92" s="94"/>
      <c r="U92" s="98"/>
      <c r="V92" s="100"/>
      <c r="W92" s="98"/>
      <c r="X92" s="98"/>
      <c r="Y92" s="98"/>
      <c r="Z92" s="98"/>
      <c r="AA92" s="98"/>
      <c r="AB92" s="98"/>
      <c r="AC92" s="98"/>
    </row>
    <row r="93" spans="1:29" s="1" customFormat="1" ht="21" customHeight="1">
      <c r="A93" s="159" t="s">
        <v>828</v>
      </c>
      <c r="B93" s="40">
        <v>94</v>
      </c>
      <c r="C93" s="122">
        <v>46006</v>
      </c>
      <c r="D93" s="122">
        <v>46006</v>
      </c>
      <c r="E93" s="30" t="s">
        <v>677</v>
      </c>
      <c r="F93" s="59" t="s">
        <v>907</v>
      </c>
      <c r="G93" s="61" t="s">
        <v>678</v>
      </c>
      <c r="H93" s="17" t="s">
        <v>679</v>
      </c>
      <c r="I93" s="70" t="s">
        <v>160</v>
      </c>
      <c r="J93" s="70">
        <v>150000</v>
      </c>
      <c r="K93" s="114"/>
      <c r="L93" s="113"/>
      <c r="M93" s="104">
        <f t="shared" ref="M93:M115" si="5">J93-K93</f>
        <v>150000</v>
      </c>
      <c r="N93" s="221" t="s">
        <v>226</v>
      </c>
      <c r="O93" s="70">
        <v>150000</v>
      </c>
      <c r="P93" s="70"/>
      <c r="Q93" s="227">
        <f t="shared" si="4"/>
        <v>150000</v>
      </c>
      <c r="R93" s="93"/>
      <c r="S93" s="93"/>
      <c r="T93" s="94"/>
      <c r="U93" s="98"/>
      <c r="V93" s="100"/>
      <c r="W93" s="98"/>
      <c r="X93" s="98"/>
      <c r="Y93" s="98"/>
      <c r="Z93" s="98"/>
      <c r="AA93" s="98"/>
      <c r="AB93" s="98"/>
      <c r="AC93" s="98"/>
    </row>
    <row r="94" spans="1:29" s="1" customFormat="1" ht="21" customHeight="1">
      <c r="A94" s="159" t="s">
        <v>828</v>
      </c>
      <c r="B94" s="40">
        <v>96</v>
      </c>
      <c r="C94" s="122">
        <v>46006</v>
      </c>
      <c r="D94" s="122">
        <v>46006</v>
      </c>
      <c r="E94" s="30" t="s">
        <v>684</v>
      </c>
      <c r="F94" s="59" t="s">
        <v>907</v>
      </c>
      <c r="G94" s="61" t="s">
        <v>685</v>
      </c>
      <c r="H94" s="17" t="s">
        <v>686</v>
      </c>
      <c r="I94" s="70" t="s">
        <v>111</v>
      </c>
      <c r="J94" s="70">
        <v>1800000</v>
      </c>
      <c r="K94" s="114"/>
      <c r="L94" s="113"/>
      <c r="M94" s="104">
        <f t="shared" si="5"/>
        <v>1800000</v>
      </c>
      <c r="N94" s="221" t="s">
        <v>226</v>
      </c>
      <c r="O94" s="70">
        <v>1800000</v>
      </c>
      <c r="P94" s="70"/>
      <c r="Q94" s="227">
        <f t="shared" si="4"/>
        <v>1800000</v>
      </c>
      <c r="R94" s="93"/>
      <c r="S94" s="93"/>
      <c r="T94" s="94"/>
      <c r="U94" s="98"/>
      <c r="V94" s="100"/>
      <c r="W94" s="98"/>
      <c r="X94" s="98"/>
      <c r="Y94" s="98"/>
      <c r="Z94" s="98"/>
      <c r="AA94" s="98"/>
      <c r="AB94" s="98"/>
      <c r="AC94" s="98"/>
    </row>
    <row r="95" spans="1:29" s="1" customFormat="1" ht="21" customHeight="1">
      <c r="A95" s="159" t="s">
        <v>829</v>
      </c>
      <c r="B95" s="40">
        <v>98</v>
      </c>
      <c r="C95" s="122">
        <v>46006</v>
      </c>
      <c r="D95" s="122">
        <v>46006</v>
      </c>
      <c r="E95" s="30" t="s">
        <v>693</v>
      </c>
      <c r="F95" s="59" t="s">
        <v>907</v>
      </c>
      <c r="G95" s="61" t="s">
        <v>685</v>
      </c>
      <c r="H95" s="17" t="s">
        <v>778</v>
      </c>
      <c r="I95" s="70" t="s">
        <v>111</v>
      </c>
      <c r="J95" s="70">
        <f>500000-200000</f>
        <v>300000</v>
      </c>
      <c r="K95" s="114"/>
      <c r="L95" s="113"/>
      <c r="M95" s="104">
        <f t="shared" si="5"/>
        <v>300000</v>
      </c>
      <c r="N95" s="221" t="s">
        <v>226</v>
      </c>
      <c r="O95" s="70">
        <v>300000</v>
      </c>
      <c r="P95" s="70"/>
      <c r="Q95" s="227">
        <f t="shared" si="4"/>
        <v>300000</v>
      </c>
      <c r="R95" s="93"/>
      <c r="S95" s="93"/>
      <c r="T95" s="94"/>
      <c r="U95" s="98"/>
      <c r="V95" s="100"/>
      <c r="W95" s="98"/>
      <c r="X95" s="98"/>
      <c r="Y95" s="98"/>
      <c r="Z95" s="98"/>
      <c r="AA95" s="98"/>
      <c r="AB95" s="98"/>
      <c r="AC95" s="98"/>
    </row>
    <row r="96" spans="1:29" s="1" customFormat="1" ht="21" customHeight="1">
      <c r="A96" s="159" t="s">
        <v>828</v>
      </c>
      <c r="B96" s="40">
        <v>99</v>
      </c>
      <c r="C96" s="122">
        <v>46006</v>
      </c>
      <c r="D96" s="122">
        <v>46006</v>
      </c>
      <c r="E96" s="30" t="s">
        <v>735</v>
      </c>
      <c r="F96" s="59" t="s">
        <v>907</v>
      </c>
      <c r="G96" s="61" t="s">
        <v>695</v>
      </c>
      <c r="H96" s="17" t="s">
        <v>696</v>
      </c>
      <c r="I96" s="70" t="s">
        <v>77</v>
      </c>
      <c r="J96" s="70">
        <f>1800000</f>
        <v>1800000</v>
      </c>
      <c r="K96" s="114"/>
      <c r="L96" s="113"/>
      <c r="M96" s="104">
        <f t="shared" si="5"/>
        <v>1800000</v>
      </c>
      <c r="N96" s="221" t="s">
        <v>226</v>
      </c>
      <c r="O96" s="70">
        <v>1800000</v>
      </c>
      <c r="P96" s="70"/>
      <c r="Q96" s="227">
        <f t="shared" si="4"/>
        <v>1800000</v>
      </c>
      <c r="R96" s="93" t="s">
        <v>734</v>
      </c>
      <c r="S96" s="93"/>
      <c r="T96" s="94"/>
      <c r="U96" s="98"/>
      <c r="V96" s="100"/>
      <c r="W96" s="98"/>
      <c r="X96" s="98"/>
      <c r="Y96" s="98"/>
      <c r="Z96" s="98"/>
      <c r="AA96" s="98"/>
      <c r="AB96" s="98"/>
      <c r="AC96" s="98"/>
    </row>
    <row r="97" spans="1:29" s="1" customFormat="1" ht="21" customHeight="1">
      <c r="A97" s="159" t="s">
        <v>829</v>
      </c>
      <c r="B97" s="40">
        <v>100</v>
      </c>
      <c r="C97" s="122">
        <v>46022</v>
      </c>
      <c r="D97" s="122">
        <v>46022</v>
      </c>
      <c r="E97" s="30" t="s">
        <v>702</v>
      </c>
      <c r="F97" s="59" t="s">
        <v>907</v>
      </c>
      <c r="G97" s="61" t="s">
        <v>675</v>
      </c>
      <c r="H97" s="17" t="s">
        <v>676</v>
      </c>
      <c r="I97" s="70" t="s">
        <v>383</v>
      </c>
      <c r="J97" s="70">
        <v>770000</v>
      </c>
      <c r="K97" s="114">
        <v>693000</v>
      </c>
      <c r="L97" s="113">
        <v>46016</v>
      </c>
      <c r="M97" s="177">
        <f t="shared" si="5"/>
        <v>77000</v>
      </c>
      <c r="N97" s="221" t="s">
        <v>139</v>
      </c>
      <c r="O97" s="70">
        <v>770000</v>
      </c>
      <c r="P97" s="70">
        <v>693000</v>
      </c>
      <c r="Q97" s="227">
        <f t="shared" si="4"/>
        <v>77000</v>
      </c>
      <c r="R97" s="93"/>
      <c r="S97" s="93"/>
      <c r="T97" s="94"/>
      <c r="U97" s="98"/>
      <c r="V97" s="100"/>
      <c r="W97" s="98"/>
      <c r="X97" s="98"/>
      <c r="Y97" s="98"/>
      <c r="Z97" s="98"/>
      <c r="AA97" s="98"/>
      <c r="AB97" s="98"/>
      <c r="AC97" s="98"/>
    </row>
    <row r="98" spans="1:29" s="1" customFormat="1" ht="21" customHeight="1">
      <c r="A98" s="159" t="s">
        <v>828</v>
      </c>
      <c r="B98" s="40">
        <v>101</v>
      </c>
      <c r="C98" s="122">
        <v>46006</v>
      </c>
      <c r="D98" s="122">
        <v>46006</v>
      </c>
      <c r="E98" s="30" t="s">
        <v>703</v>
      </c>
      <c r="F98" s="59" t="s">
        <v>907</v>
      </c>
      <c r="G98" s="61" t="s">
        <v>704</v>
      </c>
      <c r="H98" s="17" t="s">
        <v>821</v>
      </c>
      <c r="I98" s="70" t="s">
        <v>705</v>
      </c>
      <c r="J98" s="70">
        <f>250000+250000</f>
        <v>500000</v>
      </c>
      <c r="K98" s="114"/>
      <c r="L98" s="113"/>
      <c r="M98" s="104">
        <f t="shared" si="5"/>
        <v>500000</v>
      </c>
      <c r="N98" s="221" t="s">
        <v>226</v>
      </c>
      <c r="O98" s="70">
        <v>500000</v>
      </c>
      <c r="P98" s="70"/>
      <c r="Q98" s="227">
        <f t="shared" si="4"/>
        <v>500000</v>
      </c>
      <c r="R98" s="185"/>
      <c r="S98" s="93"/>
      <c r="T98" s="94"/>
      <c r="U98" s="98"/>
      <c r="V98" s="100"/>
      <c r="W98" s="98"/>
      <c r="X98" s="98"/>
      <c r="Y98" s="98"/>
      <c r="Z98" s="98"/>
      <c r="AA98" s="98"/>
      <c r="AB98" s="98"/>
      <c r="AC98" s="98"/>
    </row>
    <row r="99" spans="1:29" s="1" customFormat="1" ht="21" customHeight="1">
      <c r="A99" s="159" t="s">
        <v>829</v>
      </c>
      <c r="B99" s="40">
        <v>104</v>
      </c>
      <c r="C99" s="122">
        <v>46022</v>
      </c>
      <c r="D99" s="122">
        <v>46022</v>
      </c>
      <c r="E99" s="30" t="s">
        <v>752</v>
      </c>
      <c r="F99" s="59" t="s">
        <v>907</v>
      </c>
      <c r="G99" s="61" t="s">
        <v>757</v>
      </c>
      <c r="H99" s="17" t="s">
        <v>869</v>
      </c>
      <c r="I99" s="70" t="s">
        <v>111</v>
      </c>
      <c r="J99" s="70">
        <v>6906364</v>
      </c>
      <c r="K99" s="114">
        <f>6250000</f>
        <v>6250000</v>
      </c>
      <c r="L99" s="113">
        <v>46022</v>
      </c>
      <c r="M99" s="177">
        <f t="shared" si="5"/>
        <v>656364</v>
      </c>
      <c r="N99" s="221" t="s">
        <v>139</v>
      </c>
      <c r="O99" s="70">
        <v>6750100</v>
      </c>
      <c r="P99" s="70">
        <v>6140000</v>
      </c>
      <c r="Q99" s="227">
        <f t="shared" si="4"/>
        <v>610100</v>
      </c>
      <c r="R99" s="205" t="s">
        <v>941</v>
      </c>
      <c r="S99" s="93"/>
      <c r="T99" s="94"/>
      <c r="U99" s="98"/>
      <c r="V99" s="100"/>
      <c r="W99" s="98"/>
      <c r="X99" s="98"/>
      <c r="Y99" s="98"/>
      <c r="Z99" s="98"/>
      <c r="AA99" s="98"/>
      <c r="AB99" s="98"/>
      <c r="AC99" s="98"/>
    </row>
    <row r="100" spans="1:29" s="1" customFormat="1" ht="21" customHeight="1">
      <c r="A100" s="159" t="s">
        <v>829</v>
      </c>
      <c r="B100" s="40">
        <v>105</v>
      </c>
      <c r="C100" s="122">
        <v>46006</v>
      </c>
      <c r="D100" s="122">
        <v>46006</v>
      </c>
      <c r="E100" s="30" t="s">
        <v>710</v>
      </c>
      <c r="F100" s="59" t="s">
        <v>907</v>
      </c>
      <c r="G100" s="61" t="s">
        <v>711</v>
      </c>
      <c r="H100" s="17" t="s">
        <v>712</v>
      </c>
      <c r="I100" s="70" t="s">
        <v>619</v>
      </c>
      <c r="J100" s="70">
        <v>350000</v>
      </c>
      <c r="K100" s="114"/>
      <c r="L100" s="113"/>
      <c r="M100" s="104">
        <f t="shared" si="5"/>
        <v>350000</v>
      </c>
      <c r="N100" s="221" t="s">
        <v>226</v>
      </c>
      <c r="O100" s="70">
        <v>350000</v>
      </c>
      <c r="P100" s="70"/>
      <c r="Q100" s="227">
        <f t="shared" si="4"/>
        <v>350000</v>
      </c>
      <c r="R100" s="93"/>
      <c r="S100" s="93"/>
      <c r="T100" s="94"/>
      <c r="U100" s="98"/>
      <c r="V100" s="100"/>
      <c r="W100" s="98"/>
      <c r="X100" s="98"/>
      <c r="Y100" s="98"/>
      <c r="Z100" s="98"/>
      <c r="AA100" s="98"/>
      <c r="AB100" s="98"/>
      <c r="AC100" s="98"/>
    </row>
    <row r="101" spans="1:29" s="1" customFormat="1" ht="21" customHeight="1">
      <c r="A101" s="159" t="s">
        <v>828</v>
      </c>
      <c r="B101" s="40">
        <v>106</v>
      </c>
      <c r="C101" s="122">
        <v>46006</v>
      </c>
      <c r="D101" s="122">
        <v>46006</v>
      </c>
      <c r="E101" s="30" t="s">
        <v>715</v>
      </c>
      <c r="F101" s="59" t="s">
        <v>907</v>
      </c>
      <c r="G101" s="61" t="s">
        <v>716</v>
      </c>
      <c r="H101" s="17" t="s">
        <v>717</v>
      </c>
      <c r="I101" s="70" t="s">
        <v>388</v>
      </c>
      <c r="J101" s="70">
        <v>350000</v>
      </c>
      <c r="K101" s="114"/>
      <c r="L101" s="113"/>
      <c r="M101" s="104">
        <f t="shared" si="5"/>
        <v>350000</v>
      </c>
      <c r="N101" s="221" t="s">
        <v>226</v>
      </c>
      <c r="O101" s="70">
        <v>350000</v>
      </c>
      <c r="P101" s="70"/>
      <c r="Q101" s="227">
        <f t="shared" si="4"/>
        <v>350000</v>
      </c>
      <c r="R101" s="93"/>
      <c r="S101" s="93"/>
      <c r="T101" s="94"/>
      <c r="U101" s="98"/>
      <c r="V101" s="100"/>
      <c r="W101" s="98"/>
      <c r="X101" s="98"/>
      <c r="Y101" s="98"/>
      <c r="Z101" s="98"/>
      <c r="AA101" s="98"/>
      <c r="AB101" s="98"/>
      <c r="AC101" s="98"/>
    </row>
    <row r="102" spans="1:29" s="1" customFormat="1" ht="21" customHeight="1">
      <c r="A102" s="159">
        <v>106</v>
      </c>
      <c r="B102" s="40">
        <v>107</v>
      </c>
      <c r="C102" s="122">
        <v>46020</v>
      </c>
      <c r="D102" s="122">
        <v>46020</v>
      </c>
      <c r="E102" s="30" t="s">
        <v>724</v>
      </c>
      <c r="F102" s="59" t="s">
        <v>893</v>
      </c>
      <c r="G102" s="61" t="s">
        <v>685</v>
      </c>
      <c r="H102" s="17" t="s">
        <v>722</v>
      </c>
      <c r="I102" s="70" t="s">
        <v>111</v>
      </c>
      <c r="J102" s="70">
        <f>1600000*3</f>
        <v>4800000</v>
      </c>
      <c r="K102" s="114"/>
      <c r="L102" s="202"/>
      <c r="M102" s="104">
        <f t="shared" si="5"/>
        <v>4800000</v>
      </c>
      <c r="N102" s="221" t="s">
        <v>723</v>
      </c>
      <c r="O102" s="70">
        <v>1200000</v>
      </c>
      <c r="P102" s="70"/>
      <c r="Q102" s="227">
        <f t="shared" si="4"/>
        <v>1200000</v>
      </c>
      <c r="R102" s="205" t="s">
        <v>935</v>
      </c>
      <c r="S102" s="93"/>
      <c r="T102" s="94"/>
      <c r="U102" s="98"/>
      <c r="V102" s="100"/>
      <c r="W102" s="98"/>
      <c r="X102" s="98"/>
      <c r="Y102" s="98"/>
      <c r="Z102" s="98"/>
      <c r="AA102" s="98"/>
      <c r="AB102" s="98"/>
      <c r="AC102" s="98"/>
    </row>
    <row r="103" spans="1:29" s="1" customFormat="1" ht="21" customHeight="1">
      <c r="A103" s="159">
        <v>106</v>
      </c>
      <c r="B103" s="40">
        <v>108</v>
      </c>
      <c r="C103" s="122">
        <v>46020</v>
      </c>
      <c r="D103" s="122">
        <v>46020</v>
      </c>
      <c r="E103" s="30" t="s">
        <v>758</v>
      </c>
      <c r="F103" s="59" t="s">
        <v>893</v>
      </c>
      <c r="G103" s="61" t="s">
        <v>759</v>
      </c>
      <c r="H103" s="17" t="s">
        <v>760</v>
      </c>
      <c r="I103" s="70" t="s">
        <v>761</v>
      </c>
      <c r="J103" s="70">
        <f>1960000*3</f>
        <v>5880000</v>
      </c>
      <c r="K103" s="114"/>
      <c r="L103" s="202"/>
      <c r="M103" s="104">
        <f t="shared" si="5"/>
        <v>5880000</v>
      </c>
      <c r="N103" s="221" t="s">
        <v>762</v>
      </c>
      <c r="O103" s="70">
        <v>1470000</v>
      </c>
      <c r="P103" s="70"/>
      <c r="Q103" s="227">
        <f t="shared" si="4"/>
        <v>1470000</v>
      </c>
      <c r="R103" s="205" t="s">
        <v>935</v>
      </c>
      <c r="S103" s="93"/>
      <c r="T103" s="94"/>
      <c r="U103" s="98"/>
      <c r="V103" s="100"/>
      <c r="W103" s="98"/>
      <c r="X103" s="98"/>
      <c r="Y103" s="98"/>
      <c r="Z103" s="98"/>
      <c r="AA103" s="98"/>
      <c r="AB103" s="98"/>
      <c r="AC103" s="98"/>
    </row>
    <row r="104" spans="1:29" s="1" customFormat="1" ht="21" customHeight="1">
      <c r="A104" s="159" t="s">
        <v>829</v>
      </c>
      <c r="B104" s="40">
        <v>109</v>
      </c>
      <c r="C104" s="122">
        <v>46006</v>
      </c>
      <c r="D104" s="122">
        <v>46006</v>
      </c>
      <c r="E104" s="30" t="s">
        <v>747</v>
      </c>
      <c r="F104" s="59" t="s">
        <v>907</v>
      </c>
      <c r="G104" s="61" t="s">
        <v>748</v>
      </c>
      <c r="H104" s="17" t="s">
        <v>866</v>
      </c>
      <c r="I104" s="70" t="s">
        <v>387</v>
      </c>
      <c r="J104" s="70">
        <v>3150000</v>
      </c>
      <c r="K104" s="114"/>
      <c r="L104" s="202"/>
      <c r="M104" s="104">
        <f t="shared" si="5"/>
        <v>3150000</v>
      </c>
      <c r="N104" s="221" t="s">
        <v>226</v>
      </c>
      <c r="O104" s="70">
        <v>3150000</v>
      </c>
      <c r="P104" s="70"/>
      <c r="Q104" s="227">
        <f t="shared" si="4"/>
        <v>3150000</v>
      </c>
      <c r="R104" s="93"/>
      <c r="S104" s="93"/>
      <c r="T104" s="94"/>
      <c r="U104" s="98"/>
      <c r="V104" s="100"/>
      <c r="W104" s="98"/>
      <c r="X104" s="98"/>
      <c r="Y104" s="98"/>
      <c r="Z104" s="98"/>
      <c r="AA104" s="98"/>
      <c r="AB104" s="98"/>
      <c r="AC104" s="98"/>
    </row>
    <row r="105" spans="1:29" s="1" customFormat="1" ht="21" customHeight="1">
      <c r="A105" s="159" t="s">
        <v>828</v>
      </c>
      <c r="B105" s="40">
        <v>110</v>
      </c>
      <c r="C105" s="122">
        <v>46006</v>
      </c>
      <c r="D105" s="122">
        <v>46006</v>
      </c>
      <c r="E105" s="30" t="s">
        <v>753</v>
      </c>
      <c r="F105" s="59" t="s">
        <v>907</v>
      </c>
      <c r="G105" s="61" t="s">
        <v>754</v>
      </c>
      <c r="H105" s="17" t="s">
        <v>755</v>
      </c>
      <c r="I105" s="70" t="s">
        <v>383</v>
      </c>
      <c r="J105" s="70">
        <v>300000</v>
      </c>
      <c r="K105" s="114"/>
      <c r="L105" s="113"/>
      <c r="M105" s="104">
        <f t="shared" si="5"/>
        <v>300000</v>
      </c>
      <c r="N105" s="221" t="s">
        <v>226</v>
      </c>
      <c r="O105" s="70">
        <v>300000</v>
      </c>
      <c r="P105" s="70"/>
      <c r="Q105" s="227">
        <f t="shared" si="4"/>
        <v>300000</v>
      </c>
      <c r="R105" s="93"/>
      <c r="S105" s="93"/>
      <c r="T105" s="94"/>
      <c r="U105" s="98"/>
      <c r="V105" s="100"/>
      <c r="W105" s="98"/>
      <c r="X105" s="98"/>
      <c r="Y105" s="98"/>
      <c r="Z105" s="98"/>
      <c r="AA105" s="98"/>
      <c r="AB105" s="98"/>
      <c r="AC105" s="98"/>
    </row>
    <row r="106" spans="1:29" s="1" customFormat="1" ht="21" customHeight="1">
      <c r="A106" s="159" t="s">
        <v>828</v>
      </c>
      <c r="B106" s="40">
        <v>111</v>
      </c>
      <c r="C106" s="122">
        <v>46006</v>
      </c>
      <c r="D106" s="122">
        <v>46006</v>
      </c>
      <c r="E106" s="30" t="s">
        <v>771</v>
      </c>
      <c r="F106" s="59" t="s">
        <v>907</v>
      </c>
      <c r="G106" s="61" t="s">
        <v>764</v>
      </c>
      <c r="H106" s="17" t="s">
        <v>763</v>
      </c>
      <c r="I106" s="70" t="s">
        <v>160</v>
      </c>
      <c r="J106" s="70">
        <v>400000</v>
      </c>
      <c r="K106" s="114"/>
      <c r="L106" s="113"/>
      <c r="M106" s="104">
        <f t="shared" si="5"/>
        <v>400000</v>
      </c>
      <c r="N106" s="221" t="s">
        <v>226</v>
      </c>
      <c r="O106" s="70">
        <v>400000</v>
      </c>
      <c r="P106" s="70"/>
      <c r="Q106" s="227">
        <f t="shared" si="4"/>
        <v>400000</v>
      </c>
      <c r="R106" s="93"/>
      <c r="S106" s="93"/>
      <c r="T106" s="94"/>
      <c r="U106" s="98"/>
      <c r="V106" s="100"/>
      <c r="W106" s="98"/>
      <c r="X106" s="98"/>
      <c r="Y106" s="98"/>
      <c r="Z106" s="98"/>
      <c r="AA106" s="98"/>
      <c r="AB106" s="98"/>
      <c r="AC106" s="98"/>
    </row>
    <row r="107" spans="1:29" s="1" customFormat="1" ht="21" customHeight="1">
      <c r="A107" s="159" t="s">
        <v>829</v>
      </c>
      <c r="B107" s="40">
        <v>112</v>
      </c>
      <c r="C107" s="122">
        <v>46006</v>
      </c>
      <c r="D107" s="122">
        <v>46006</v>
      </c>
      <c r="E107" s="30" t="s">
        <v>782</v>
      </c>
      <c r="F107" s="59" t="s">
        <v>907</v>
      </c>
      <c r="G107" s="61" t="s">
        <v>772</v>
      </c>
      <c r="H107" s="17" t="s">
        <v>773</v>
      </c>
      <c r="I107" s="70" t="s">
        <v>161</v>
      </c>
      <c r="J107" s="70">
        <f>200000</f>
        <v>200000</v>
      </c>
      <c r="K107" s="114"/>
      <c r="L107" s="113"/>
      <c r="M107" s="104">
        <f t="shared" si="5"/>
        <v>200000</v>
      </c>
      <c r="N107" s="221" t="s">
        <v>226</v>
      </c>
      <c r="O107" s="70">
        <v>200000</v>
      </c>
      <c r="P107" s="70"/>
      <c r="Q107" s="227">
        <f t="shared" si="4"/>
        <v>200000</v>
      </c>
      <c r="R107" s="93"/>
      <c r="S107" s="93"/>
      <c r="T107" s="94"/>
      <c r="U107" s="98"/>
      <c r="V107" s="100"/>
      <c r="W107" s="98"/>
      <c r="X107" s="98"/>
      <c r="Y107" s="98"/>
      <c r="Z107" s="98"/>
      <c r="AA107" s="98"/>
      <c r="AB107" s="98"/>
      <c r="AC107" s="98"/>
    </row>
    <row r="108" spans="1:29" s="1" customFormat="1" ht="21" customHeight="1">
      <c r="A108" s="159" t="s">
        <v>829</v>
      </c>
      <c r="B108" s="40">
        <v>113</v>
      </c>
      <c r="C108" s="122">
        <v>46006</v>
      </c>
      <c r="D108" s="122">
        <v>46006</v>
      </c>
      <c r="E108" s="30" t="s">
        <v>774</v>
      </c>
      <c r="F108" s="59" t="s">
        <v>907</v>
      </c>
      <c r="G108" s="61" t="s">
        <v>784</v>
      </c>
      <c r="H108" s="17" t="s">
        <v>785</v>
      </c>
      <c r="I108" s="70" t="s">
        <v>786</v>
      </c>
      <c r="J108" s="70">
        <v>200000</v>
      </c>
      <c r="K108" s="114"/>
      <c r="L108" s="113"/>
      <c r="M108" s="104">
        <f t="shared" si="5"/>
        <v>200000</v>
      </c>
      <c r="N108" s="221" t="s">
        <v>226</v>
      </c>
      <c r="O108" s="70">
        <v>200000</v>
      </c>
      <c r="P108" s="70"/>
      <c r="Q108" s="227">
        <f t="shared" si="4"/>
        <v>200000</v>
      </c>
      <c r="R108" s="93"/>
      <c r="S108" s="93"/>
      <c r="T108" s="94"/>
      <c r="U108" s="98"/>
      <c r="V108" s="100"/>
      <c r="W108" s="98"/>
      <c r="X108" s="98"/>
      <c r="Y108" s="98"/>
      <c r="Z108" s="98"/>
      <c r="AA108" s="98"/>
      <c r="AB108" s="98"/>
      <c r="AC108" s="98"/>
    </row>
    <row r="109" spans="1:29" s="1" customFormat="1" ht="21" customHeight="1">
      <c r="A109" s="159" t="s">
        <v>828</v>
      </c>
      <c r="B109" s="40">
        <v>114</v>
      </c>
      <c r="C109" s="122">
        <v>46006</v>
      </c>
      <c r="D109" s="122">
        <v>46006</v>
      </c>
      <c r="E109" s="30" t="s">
        <v>781</v>
      </c>
      <c r="F109" s="59" t="s">
        <v>907</v>
      </c>
      <c r="G109" s="61" t="s">
        <v>776</v>
      </c>
      <c r="H109" s="17" t="s">
        <v>777</v>
      </c>
      <c r="I109" s="70" t="s">
        <v>161</v>
      </c>
      <c r="J109" s="70">
        <v>200000</v>
      </c>
      <c r="K109" s="114"/>
      <c r="L109" s="113"/>
      <c r="M109" s="104">
        <f t="shared" si="5"/>
        <v>200000</v>
      </c>
      <c r="N109" s="221" t="s">
        <v>226</v>
      </c>
      <c r="O109" s="70">
        <v>200000</v>
      </c>
      <c r="P109" s="70"/>
      <c r="Q109" s="227">
        <f t="shared" si="4"/>
        <v>200000</v>
      </c>
      <c r="R109" s="93"/>
      <c r="S109" s="93"/>
      <c r="T109" s="94"/>
      <c r="U109" s="98"/>
      <c r="V109" s="100"/>
      <c r="W109" s="98"/>
      <c r="X109" s="98"/>
      <c r="Y109" s="98"/>
      <c r="Z109" s="98"/>
      <c r="AA109" s="98"/>
      <c r="AB109" s="98"/>
      <c r="AC109" s="98"/>
    </row>
    <row r="110" spans="1:29" s="1" customFormat="1" ht="21" customHeight="1">
      <c r="A110" s="159" t="s">
        <v>829</v>
      </c>
      <c r="B110" s="40">
        <v>115</v>
      </c>
      <c r="C110" s="122">
        <v>46006</v>
      </c>
      <c r="D110" s="122">
        <v>46006</v>
      </c>
      <c r="E110" s="30" t="s">
        <v>780</v>
      </c>
      <c r="F110" s="59" t="s">
        <v>907</v>
      </c>
      <c r="G110" s="61" t="s">
        <v>779</v>
      </c>
      <c r="H110" s="17" t="s">
        <v>821</v>
      </c>
      <c r="I110" s="70" t="s">
        <v>619</v>
      </c>
      <c r="J110" s="70">
        <f>270000+800000</f>
        <v>1070000</v>
      </c>
      <c r="K110" s="114"/>
      <c r="L110" s="113"/>
      <c r="M110" s="104">
        <f t="shared" si="5"/>
        <v>1070000</v>
      </c>
      <c r="N110" s="221" t="s">
        <v>226</v>
      </c>
      <c r="O110" s="70">
        <v>1070000</v>
      </c>
      <c r="P110" s="70"/>
      <c r="Q110" s="227">
        <f t="shared" si="4"/>
        <v>1070000</v>
      </c>
      <c r="R110" s="185"/>
      <c r="S110" s="93"/>
      <c r="T110" s="94"/>
      <c r="U110" s="98"/>
      <c r="V110" s="100"/>
      <c r="W110" s="98"/>
      <c r="X110" s="98"/>
      <c r="Y110" s="98"/>
      <c r="Z110" s="98"/>
      <c r="AA110" s="98"/>
      <c r="AB110" s="98"/>
      <c r="AC110" s="98"/>
    </row>
    <row r="111" spans="1:29" s="1" customFormat="1" ht="21" customHeight="1">
      <c r="A111" s="212">
        <v>106</v>
      </c>
      <c r="B111" s="40">
        <v>116</v>
      </c>
      <c r="C111" s="213">
        <v>46010</v>
      </c>
      <c r="D111" s="213">
        <v>46010</v>
      </c>
      <c r="E111" s="30" t="s">
        <v>881</v>
      </c>
      <c r="F111" s="59" t="s">
        <v>921</v>
      </c>
      <c r="G111" s="61" t="s">
        <v>882</v>
      </c>
      <c r="H111" s="17" t="s">
        <v>883</v>
      </c>
      <c r="I111" s="70" t="s">
        <v>884</v>
      </c>
      <c r="J111" s="70">
        <v>200000</v>
      </c>
      <c r="K111" s="114"/>
      <c r="L111" s="113"/>
      <c r="M111" s="104">
        <f t="shared" si="5"/>
        <v>200000</v>
      </c>
      <c r="N111" s="221" t="s">
        <v>227</v>
      </c>
      <c r="O111" s="70">
        <v>200000</v>
      </c>
      <c r="P111" s="70"/>
      <c r="Q111" s="227">
        <f t="shared" si="4"/>
        <v>200000</v>
      </c>
      <c r="R111" s="93"/>
      <c r="S111" s="93"/>
      <c r="T111" s="94"/>
      <c r="U111" s="98"/>
      <c r="V111" s="100"/>
      <c r="W111" s="98"/>
      <c r="X111" s="98"/>
      <c r="Y111" s="98"/>
      <c r="Z111" s="98"/>
      <c r="AA111" s="98"/>
      <c r="AB111" s="98"/>
      <c r="AC111" s="98"/>
    </row>
    <row r="112" spans="1:29" s="1" customFormat="1" ht="21" customHeight="1">
      <c r="A112" s="159" t="s">
        <v>828</v>
      </c>
      <c r="B112" s="40">
        <v>117</v>
      </c>
      <c r="C112" s="122">
        <v>46006</v>
      </c>
      <c r="D112" s="122">
        <v>46006</v>
      </c>
      <c r="E112" s="30" t="s">
        <v>836</v>
      </c>
      <c r="F112" s="59" t="s">
        <v>907</v>
      </c>
      <c r="G112" s="61" t="s">
        <v>790</v>
      </c>
      <c r="H112" s="17" t="s">
        <v>794</v>
      </c>
      <c r="I112" s="70" t="s">
        <v>111</v>
      </c>
      <c r="J112" s="70">
        <v>500000</v>
      </c>
      <c r="K112" s="114"/>
      <c r="L112" s="113"/>
      <c r="M112" s="104">
        <f t="shared" si="5"/>
        <v>500000</v>
      </c>
      <c r="N112" s="221" t="s">
        <v>228</v>
      </c>
      <c r="O112" s="70">
        <v>500000</v>
      </c>
      <c r="P112" s="70"/>
      <c r="Q112" s="227">
        <f t="shared" si="4"/>
        <v>500000</v>
      </c>
      <c r="R112" s="93" t="s">
        <v>862</v>
      </c>
      <c r="S112" s="93"/>
      <c r="T112" s="94"/>
      <c r="U112" s="98"/>
      <c r="V112" s="100"/>
      <c r="W112" s="98"/>
      <c r="X112" s="98"/>
      <c r="Y112" s="98"/>
      <c r="Z112" s="98"/>
      <c r="AA112" s="98"/>
      <c r="AB112" s="98"/>
      <c r="AC112" s="98"/>
    </row>
    <row r="113" spans="1:29" s="1" customFormat="1" ht="21" customHeight="1">
      <c r="A113" s="159">
        <v>105</v>
      </c>
      <c r="B113" s="40">
        <v>118</v>
      </c>
      <c r="C113" s="122">
        <v>45999</v>
      </c>
      <c r="D113" s="122">
        <v>45999</v>
      </c>
      <c r="E113" s="30" t="s">
        <v>838</v>
      </c>
      <c r="F113" s="59" t="s">
        <v>915</v>
      </c>
      <c r="G113" s="61" t="s">
        <v>839</v>
      </c>
      <c r="H113" s="17" t="s">
        <v>840</v>
      </c>
      <c r="I113" s="70" t="s">
        <v>841</v>
      </c>
      <c r="J113" s="70">
        <v>300000</v>
      </c>
      <c r="K113" s="114"/>
      <c r="L113" s="198" t="s">
        <v>930</v>
      </c>
      <c r="M113" s="104">
        <f t="shared" si="5"/>
        <v>300000</v>
      </c>
      <c r="N113" s="221" t="s">
        <v>842</v>
      </c>
      <c r="O113" s="70">
        <v>300000</v>
      </c>
      <c r="P113" s="70"/>
      <c r="Q113" s="227">
        <f t="shared" si="4"/>
        <v>300000</v>
      </c>
      <c r="R113" s="93" t="s">
        <v>887</v>
      </c>
      <c r="S113" s="93"/>
      <c r="T113" s="94"/>
      <c r="U113" s="98"/>
      <c r="V113" s="100"/>
      <c r="W113" s="98"/>
      <c r="X113" s="98"/>
      <c r="Y113" s="98"/>
      <c r="Z113" s="98"/>
      <c r="AA113" s="98"/>
      <c r="AB113" s="98"/>
      <c r="AC113" s="98"/>
    </row>
    <row r="114" spans="1:29" s="1" customFormat="1" ht="21" customHeight="1">
      <c r="A114" s="159" t="s">
        <v>828</v>
      </c>
      <c r="B114" s="40">
        <v>119</v>
      </c>
      <c r="C114" s="122">
        <v>46006</v>
      </c>
      <c r="D114" s="122">
        <v>46006</v>
      </c>
      <c r="E114" s="30" t="s">
        <v>791</v>
      </c>
      <c r="F114" s="59" t="s">
        <v>907</v>
      </c>
      <c r="G114" s="61" t="s">
        <v>792</v>
      </c>
      <c r="H114" s="17" t="s">
        <v>824</v>
      </c>
      <c r="I114" s="70" t="s">
        <v>77</v>
      </c>
      <c r="J114" s="70">
        <f>800000+500000</f>
        <v>1300000</v>
      </c>
      <c r="K114" s="114"/>
      <c r="L114" s="204"/>
      <c r="M114" s="104">
        <f t="shared" si="5"/>
        <v>1300000</v>
      </c>
      <c r="N114" s="221" t="s">
        <v>226</v>
      </c>
      <c r="O114" s="70">
        <v>1300000</v>
      </c>
      <c r="P114" s="70"/>
      <c r="Q114" s="227">
        <f t="shared" si="4"/>
        <v>1300000</v>
      </c>
      <c r="R114" s="93"/>
      <c r="S114" s="93"/>
      <c r="T114" s="94"/>
      <c r="U114" s="98"/>
      <c r="V114" s="100"/>
      <c r="W114" s="98"/>
      <c r="X114" s="98"/>
      <c r="Y114" s="98"/>
      <c r="Z114" s="98"/>
      <c r="AA114" s="98"/>
      <c r="AB114" s="98"/>
      <c r="AC114" s="98"/>
    </row>
    <row r="115" spans="1:29" s="1" customFormat="1" ht="21" customHeight="1">
      <c r="A115" s="159">
        <v>105</v>
      </c>
      <c r="B115" s="40">
        <v>120</v>
      </c>
      <c r="C115" s="122">
        <v>46006</v>
      </c>
      <c r="D115" s="122">
        <v>46006</v>
      </c>
      <c r="E115" s="30" t="s">
        <v>817</v>
      </c>
      <c r="F115" s="59" t="s">
        <v>907</v>
      </c>
      <c r="G115" s="61" t="s">
        <v>818</v>
      </c>
      <c r="H115" s="17" t="s">
        <v>819</v>
      </c>
      <c r="I115" s="70" t="s">
        <v>111</v>
      </c>
      <c r="J115" s="70">
        <v>1900000</v>
      </c>
      <c r="K115" s="114"/>
      <c r="L115" s="198" t="s">
        <v>938</v>
      </c>
      <c r="M115" s="104">
        <f t="shared" si="5"/>
        <v>1900000</v>
      </c>
      <c r="N115" s="221" t="s">
        <v>226</v>
      </c>
      <c r="O115" s="70">
        <v>1900000</v>
      </c>
      <c r="P115" s="70"/>
      <c r="Q115" s="227">
        <f t="shared" si="4"/>
        <v>1900000</v>
      </c>
      <c r="R115" s="93" t="s">
        <v>901</v>
      </c>
      <c r="S115" s="93"/>
      <c r="T115" s="94"/>
      <c r="U115" s="98"/>
      <c r="V115" s="100"/>
      <c r="W115" s="98"/>
      <c r="X115" s="98"/>
      <c r="Y115" s="98"/>
      <c r="Z115" s="98"/>
      <c r="AA115" s="98"/>
      <c r="AB115" s="98"/>
      <c r="AC115" s="98"/>
    </row>
    <row r="116" spans="1:29" s="1" customFormat="1" ht="21" customHeight="1">
      <c r="A116" s="159">
        <v>106</v>
      </c>
      <c r="B116" s="40">
        <v>122</v>
      </c>
      <c r="C116" s="122">
        <v>46006</v>
      </c>
      <c r="D116" s="122">
        <v>46006</v>
      </c>
      <c r="E116" s="30" t="s">
        <v>822</v>
      </c>
      <c r="F116" s="59" t="s">
        <v>907</v>
      </c>
      <c r="G116" s="61" t="s">
        <v>823</v>
      </c>
      <c r="H116" s="17" t="s">
        <v>824</v>
      </c>
      <c r="I116" s="70" t="s">
        <v>78</v>
      </c>
      <c r="J116" s="70">
        <v>150000</v>
      </c>
      <c r="K116" s="114"/>
      <c r="L116" s="113"/>
      <c r="M116" s="104">
        <f t="shared" ref="M116:M117" si="6">J116-K116</f>
        <v>150000</v>
      </c>
      <c r="N116" s="221" t="s">
        <v>226</v>
      </c>
      <c r="O116" s="70">
        <v>150000</v>
      </c>
      <c r="P116" s="70"/>
      <c r="Q116" s="227">
        <f t="shared" si="4"/>
        <v>150000</v>
      </c>
      <c r="R116" s="93"/>
      <c r="S116" s="93"/>
      <c r="T116" s="94"/>
      <c r="U116" s="98"/>
      <c r="V116" s="100"/>
      <c r="W116" s="98"/>
      <c r="X116" s="98"/>
      <c r="Y116" s="98"/>
      <c r="Z116" s="98"/>
      <c r="AA116" s="98"/>
      <c r="AB116" s="98"/>
      <c r="AC116" s="98"/>
    </row>
    <row r="117" spans="1:29" s="1" customFormat="1" ht="21" customHeight="1">
      <c r="A117" s="159">
        <v>106</v>
      </c>
      <c r="B117" s="40">
        <v>123</v>
      </c>
      <c r="C117" s="122">
        <v>46006</v>
      </c>
      <c r="D117" s="122">
        <v>46006</v>
      </c>
      <c r="E117" s="30" t="s">
        <v>822</v>
      </c>
      <c r="F117" s="59" t="s">
        <v>907</v>
      </c>
      <c r="G117" s="61" t="s">
        <v>878</v>
      </c>
      <c r="H117" s="17" t="s">
        <v>879</v>
      </c>
      <c r="I117" s="70" t="s">
        <v>880</v>
      </c>
      <c r="J117" s="70">
        <v>800000</v>
      </c>
      <c r="K117" s="114"/>
      <c r="L117" s="113"/>
      <c r="M117" s="104">
        <f t="shared" si="6"/>
        <v>800000</v>
      </c>
      <c r="N117" s="221" t="s">
        <v>226</v>
      </c>
      <c r="O117" s="70">
        <v>800000</v>
      </c>
      <c r="P117" s="70"/>
      <c r="Q117" s="227">
        <f t="shared" si="4"/>
        <v>800000</v>
      </c>
      <c r="R117" s="93"/>
      <c r="S117" s="93"/>
      <c r="T117" s="94"/>
      <c r="U117" s="98"/>
      <c r="V117" s="100"/>
      <c r="W117" s="98"/>
      <c r="X117" s="98"/>
      <c r="Y117" s="98"/>
      <c r="Z117" s="98"/>
      <c r="AA117" s="98"/>
      <c r="AB117" s="98"/>
      <c r="AC117" s="98"/>
    </row>
    <row r="118" spans="1:29" s="1" customFormat="1" ht="21" customHeight="1">
      <c r="A118" s="159">
        <v>105</v>
      </c>
      <c r="B118" s="40">
        <v>126</v>
      </c>
      <c r="C118" s="122">
        <v>46006</v>
      </c>
      <c r="D118" s="122">
        <v>46006</v>
      </c>
      <c r="E118" s="30" t="s">
        <v>855</v>
      </c>
      <c r="F118" s="59" t="s">
        <v>907</v>
      </c>
      <c r="G118" s="61" t="s">
        <v>856</v>
      </c>
      <c r="H118" s="17" t="s">
        <v>857</v>
      </c>
      <c r="I118" s="70" t="s">
        <v>118</v>
      </c>
      <c r="J118" s="70">
        <v>1800000</v>
      </c>
      <c r="K118" s="114"/>
      <c r="L118" s="113"/>
      <c r="M118" s="104">
        <f t="shared" ref="M118:M119" si="7">J118-K118</f>
        <v>1800000</v>
      </c>
      <c r="N118" s="221" t="s">
        <v>226</v>
      </c>
      <c r="O118" s="70">
        <v>1800000</v>
      </c>
      <c r="P118" s="70"/>
      <c r="Q118" s="227">
        <f t="shared" si="4"/>
        <v>1800000</v>
      </c>
      <c r="R118" s="93"/>
      <c r="S118" s="93"/>
      <c r="T118" s="94"/>
      <c r="U118" s="98"/>
      <c r="V118" s="100"/>
      <c r="W118" s="98"/>
      <c r="X118" s="98"/>
      <c r="Y118" s="98"/>
      <c r="Z118" s="98"/>
      <c r="AA118" s="98"/>
      <c r="AB118" s="98"/>
      <c r="AC118" s="98"/>
    </row>
    <row r="119" spans="1:29" s="1" customFormat="1" ht="21" customHeight="1">
      <c r="A119" s="159">
        <v>106</v>
      </c>
      <c r="B119" s="40">
        <v>127</v>
      </c>
      <c r="C119" s="122">
        <v>46022</v>
      </c>
      <c r="D119" s="122">
        <v>46022</v>
      </c>
      <c r="E119" s="30" t="s">
        <v>859</v>
      </c>
      <c r="F119" s="59" t="s">
        <v>907</v>
      </c>
      <c r="G119" s="61" t="s">
        <v>860</v>
      </c>
      <c r="H119" s="17" t="s">
        <v>861</v>
      </c>
      <c r="I119" s="70" t="s">
        <v>118</v>
      </c>
      <c r="J119" s="70">
        <v>800000</v>
      </c>
      <c r="K119" s="114"/>
      <c r="L119" s="113"/>
      <c r="M119" s="104">
        <f t="shared" si="7"/>
        <v>800000</v>
      </c>
      <c r="N119" s="221" t="s">
        <v>139</v>
      </c>
      <c r="O119" s="70">
        <v>800000</v>
      </c>
      <c r="P119" s="70"/>
      <c r="Q119" s="227">
        <f t="shared" si="4"/>
        <v>800000</v>
      </c>
      <c r="R119" s="93"/>
      <c r="S119" s="93"/>
      <c r="T119" s="94"/>
      <c r="U119" s="98"/>
      <c r="V119" s="100"/>
      <c r="W119" s="98"/>
      <c r="X119" s="98"/>
      <c r="Y119" s="98"/>
      <c r="Z119" s="98"/>
      <c r="AA119" s="98"/>
      <c r="AB119" s="98"/>
      <c r="AC119" s="98"/>
    </row>
    <row r="120" spans="1:29" s="1" customFormat="1" ht="21" customHeight="1">
      <c r="A120" s="159">
        <v>106</v>
      </c>
      <c r="B120" s="40">
        <v>128</v>
      </c>
      <c r="C120" s="122">
        <v>46022</v>
      </c>
      <c r="D120" s="122">
        <v>46022</v>
      </c>
      <c r="E120" s="30" t="s">
        <v>864</v>
      </c>
      <c r="F120" s="59" t="s">
        <v>907</v>
      </c>
      <c r="G120" s="61" t="s">
        <v>837</v>
      </c>
      <c r="H120" s="17" t="s">
        <v>865</v>
      </c>
      <c r="I120" s="70" t="s">
        <v>95</v>
      </c>
      <c r="J120" s="70">
        <f>196000</f>
        <v>196000</v>
      </c>
      <c r="K120" s="114"/>
      <c r="L120" s="113"/>
      <c r="M120" s="104">
        <f t="shared" ref="M120" si="8">J120-K120</f>
        <v>196000</v>
      </c>
      <c r="N120" s="221" t="s">
        <v>139</v>
      </c>
      <c r="O120" s="70">
        <v>196000</v>
      </c>
      <c r="P120" s="70"/>
      <c r="Q120" s="227">
        <f t="shared" si="4"/>
        <v>196000</v>
      </c>
      <c r="R120" s="93"/>
      <c r="S120" s="93"/>
      <c r="T120" s="94"/>
      <c r="U120" s="98"/>
      <c r="V120" s="100"/>
      <c r="W120" s="98"/>
      <c r="X120" s="98"/>
      <c r="Y120" s="98"/>
      <c r="Z120" s="98"/>
      <c r="AA120" s="98"/>
      <c r="AB120" s="98"/>
      <c r="AC120" s="98"/>
    </row>
    <row r="121" spans="1:29" s="1" customFormat="1" ht="21" customHeight="1">
      <c r="A121" s="212">
        <v>105</v>
      </c>
      <c r="B121" s="40">
        <v>129</v>
      </c>
      <c r="C121" s="122">
        <v>46006</v>
      </c>
      <c r="D121" s="122">
        <v>46006</v>
      </c>
      <c r="E121" s="30" t="s">
        <v>870</v>
      </c>
      <c r="F121" s="59" t="s">
        <v>907</v>
      </c>
      <c r="G121" s="61" t="s">
        <v>871</v>
      </c>
      <c r="H121" s="17" t="s">
        <v>872</v>
      </c>
      <c r="I121" s="70" t="s">
        <v>387</v>
      </c>
      <c r="J121" s="70">
        <v>3100000</v>
      </c>
      <c r="K121" s="114"/>
      <c r="L121" s="113"/>
      <c r="M121" s="104">
        <f t="shared" ref="M121" si="9">J121-K121</f>
        <v>3100000</v>
      </c>
      <c r="N121" s="221" t="s">
        <v>226</v>
      </c>
      <c r="O121" s="70">
        <v>3100000</v>
      </c>
      <c r="P121" s="70"/>
      <c r="Q121" s="227">
        <f t="shared" si="4"/>
        <v>3100000</v>
      </c>
      <c r="R121" s="93"/>
      <c r="S121" s="93"/>
      <c r="T121" s="94"/>
      <c r="U121" s="98"/>
      <c r="V121" s="100"/>
      <c r="W121" s="98"/>
      <c r="X121" s="98"/>
      <c r="Y121" s="98"/>
      <c r="Z121" s="98"/>
      <c r="AA121" s="98"/>
      <c r="AB121" s="98"/>
      <c r="AC121" s="98"/>
    </row>
    <row r="122" spans="1:29" s="1" customFormat="1" ht="21" customHeight="1">
      <c r="A122" s="212">
        <v>105</v>
      </c>
      <c r="B122" s="40">
        <v>130</v>
      </c>
      <c r="C122" s="120">
        <v>46006</v>
      </c>
      <c r="D122" s="120">
        <v>46006</v>
      </c>
      <c r="E122" s="30" t="s">
        <v>890</v>
      </c>
      <c r="F122" s="59" t="s">
        <v>907</v>
      </c>
      <c r="G122" s="61" t="s">
        <v>891</v>
      </c>
      <c r="H122" s="17" t="s">
        <v>892</v>
      </c>
      <c r="I122" s="70" t="s">
        <v>383</v>
      </c>
      <c r="J122" s="70">
        <v>300000</v>
      </c>
      <c r="K122" s="114"/>
      <c r="L122" s="113"/>
      <c r="M122" s="104">
        <f t="shared" ref="M122" si="10">J122-K122</f>
        <v>300000</v>
      </c>
      <c r="N122" s="221" t="s">
        <v>611</v>
      </c>
      <c r="O122" s="70">
        <v>300000</v>
      </c>
      <c r="P122" s="70"/>
      <c r="Q122" s="227">
        <f t="shared" si="4"/>
        <v>300000</v>
      </c>
      <c r="R122" s="93"/>
      <c r="S122" s="93"/>
      <c r="T122" s="94"/>
      <c r="U122" s="98"/>
      <c r="V122" s="100"/>
      <c r="W122" s="98"/>
      <c r="X122" s="98"/>
      <c r="Y122" s="98"/>
      <c r="Z122" s="98"/>
      <c r="AA122" s="98"/>
      <c r="AB122" s="98"/>
      <c r="AC122" s="98"/>
    </row>
    <row r="123" spans="1:29" s="1" customFormat="1" ht="21" customHeight="1" thickBot="1">
      <c r="A123" s="212">
        <v>105</v>
      </c>
      <c r="B123" s="40">
        <v>131</v>
      </c>
      <c r="C123" s="120">
        <v>46009</v>
      </c>
      <c r="D123" s="120">
        <v>46009</v>
      </c>
      <c r="E123" s="30" t="s">
        <v>775</v>
      </c>
      <c r="F123" s="59" t="s">
        <v>939</v>
      </c>
      <c r="G123" s="61" t="s">
        <v>918</v>
      </c>
      <c r="H123" s="17" t="s">
        <v>919</v>
      </c>
      <c r="I123" s="70" t="s">
        <v>78</v>
      </c>
      <c r="J123" s="70">
        <f>200000*6</f>
        <v>1200000</v>
      </c>
      <c r="K123" s="114"/>
      <c r="L123" s="113"/>
      <c r="M123" s="104">
        <f t="shared" ref="M123" si="11">J123-K123</f>
        <v>1200000</v>
      </c>
      <c r="N123" s="221" t="s">
        <v>920</v>
      </c>
      <c r="O123" s="70">
        <v>200000</v>
      </c>
      <c r="P123" s="70"/>
      <c r="Q123" s="227">
        <f t="shared" si="4"/>
        <v>200000</v>
      </c>
      <c r="R123" s="93"/>
      <c r="S123" s="93"/>
      <c r="T123" s="94"/>
      <c r="U123" s="98"/>
      <c r="V123" s="100"/>
      <c r="W123" s="98"/>
      <c r="X123" s="98"/>
      <c r="Y123" s="98"/>
      <c r="Z123" s="98"/>
      <c r="AA123" s="98"/>
      <c r="AB123" s="98"/>
      <c r="AC123" s="98"/>
    </row>
    <row r="124" spans="1:29" ht="20.100000000000001" customHeight="1" thickBot="1">
      <c r="A124" s="160"/>
      <c r="B124" s="63" t="s">
        <v>132</v>
      </c>
      <c r="C124" s="52"/>
      <c r="D124" s="63"/>
      <c r="E124" s="53"/>
      <c r="F124" s="53"/>
      <c r="G124" s="53"/>
      <c r="H124" s="53"/>
      <c r="I124" s="187"/>
      <c r="J124" s="54">
        <f>SUM(J3:J123)</f>
        <v>197312224</v>
      </c>
      <c r="K124" s="54">
        <f>SUM(K3:K123)</f>
        <v>75782917</v>
      </c>
      <c r="L124" s="90"/>
      <c r="M124" s="54">
        <f>SUM(M3:M123)</f>
        <v>121529307</v>
      </c>
      <c r="N124" s="223"/>
      <c r="O124" s="54">
        <f>SUM(O3:O123)</f>
        <v>183705718</v>
      </c>
      <c r="P124" s="54">
        <f>SUM(P3:P123)</f>
        <v>78263472</v>
      </c>
      <c r="Q124" s="54">
        <f>SUM(Q3:Q123)</f>
        <v>105442246</v>
      </c>
      <c r="R124" s="93"/>
      <c r="T124" s="47"/>
    </row>
    <row r="125" spans="1:29" ht="20.100000000000001" customHeight="1">
      <c r="C125" s="182"/>
      <c r="D125" s="186"/>
      <c r="F125" s="1"/>
      <c r="G125" s="48"/>
      <c r="H125" s="48"/>
      <c r="I125" s="48"/>
      <c r="J125" s="48"/>
      <c r="K125" s="106"/>
      <c r="L125" s="106"/>
      <c r="M125" s="210" t="s">
        <v>849</v>
      </c>
      <c r="N125" s="106"/>
      <c r="O125" s="98"/>
      <c r="P125" s="93"/>
      <c r="R125" s="47"/>
    </row>
    <row r="126" spans="1:29" ht="20.100000000000001" customHeight="1">
      <c r="A126" s="157">
        <v>102</v>
      </c>
      <c r="B126" s="157">
        <v>105</v>
      </c>
      <c r="D126" s="201"/>
      <c r="F126" s="1"/>
      <c r="H126" s="1"/>
      <c r="J126" s="55"/>
      <c r="K126" s="199"/>
      <c r="M126" s="195"/>
      <c r="N126" s="185"/>
      <c r="O126" s="1"/>
      <c r="P126" s="185"/>
      <c r="Q126" s="1"/>
      <c r="R126" s="97"/>
    </row>
    <row r="127" spans="1:29" ht="20.100000000000001" customHeight="1">
      <c r="A127" s="157" t="s">
        <v>847</v>
      </c>
      <c r="B127" s="157" t="s">
        <v>848</v>
      </c>
      <c r="C127" s="201"/>
      <c r="D127" s="4"/>
      <c r="F127" s="1"/>
      <c r="G127" s="200"/>
      <c r="H127" s="1"/>
      <c r="J127" s="196"/>
      <c r="K127" s="199"/>
      <c r="L127" s="199"/>
      <c r="M127" s="195"/>
      <c r="N127" s="51"/>
      <c r="O127" s="1"/>
      <c r="P127" s="35"/>
      <c r="Q127" s="1"/>
      <c r="R127" s="97"/>
    </row>
    <row r="128" spans="1:29" ht="20.100000000000001" customHeight="1">
      <c r="A128" s="157">
        <v>117</v>
      </c>
      <c r="B128" s="157">
        <v>106</v>
      </c>
      <c r="C128" s="4"/>
      <c r="D128" s="4"/>
      <c r="F128" s="194"/>
      <c r="G128" s="1"/>
      <c r="H128" s="1"/>
      <c r="J128" s="196"/>
      <c r="K128" s="199"/>
      <c r="L128" s="199"/>
      <c r="O128" s="1"/>
      <c r="P128" s="35"/>
      <c r="Q128" s="1" t="s">
        <v>533</v>
      </c>
      <c r="R128" s="206" t="s">
        <v>900</v>
      </c>
    </row>
    <row r="129" spans="1:23" ht="20.100000000000001" customHeight="1">
      <c r="A129" s="157" t="s">
        <v>854</v>
      </c>
      <c r="B129" s="157" t="s">
        <v>858</v>
      </c>
      <c r="C129" s="4"/>
      <c r="D129" s="4"/>
      <c r="F129" s="1"/>
      <c r="G129" s="1"/>
      <c r="H129" s="1"/>
      <c r="J129" s="1"/>
      <c r="K129" s="199"/>
      <c r="M129" s="51"/>
      <c r="N129" s="65"/>
      <c r="O129" s="1"/>
      <c r="P129" s="35"/>
      <c r="Q129" s="1" t="s">
        <v>532</v>
      </c>
      <c r="R129" s="93" t="s">
        <v>806</v>
      </c>
    </row>
    <row r="130" spans="1:23" ht="44.25" customHeight="1">
      <c r="A130" s="157">
        <v>101</v>
      </c>
      <c r="C130" s="4"/>
      <c r="D130" s="4"/>
      <c r="F130" s="1"/>
      <c r="G130" s="1"/>
      <c r="H130" s="1"/>
      <c r="J130" s="1"/>
      <c r="K130" s="199"/>
      <c r="M130" s="51"/>
      <c r="N130" s="65"/>
      <c r="O130" s="1"/>
      <c r="P130" s="65"/>
      <c r="Q130" s="1" t="s">
        <v>811</v>
      </c>
      <c r="R130" s="235" t="s">
        <v>810</v>
      </c>
      <c r="S130" s="235"/>
      <c r="T130" s="235"/>
      <c r="U130" s="235"/>
      <c r="V130" s="235"/>
      <c r="W130" s="235"/>
    </row>
    <row r="131" spans="1:23" ht="20.100000000000001" customHeight="1">
      <c r="A131" s="157" t="s">
        <v>863</v>
      </c>
      <c r="C131" s="4"/>
      <c r="D131" s="4"/>
      <c r="F131" s="1"/>
      <c r="G131" s="1"/>
      <c r="H131" s="1"/>
      <c r="J131" s="1"/>
      <c r="K131" s="199"/>
      <c r="M131" s="51"/>
      <c r="N131" s="65"/>
      <c r="O131" s="1"/>
      <c r="P131" s="65"/>
      <c r="Q131" s="1" t="s">
        <v>518</v>
      </c>
      <c r="R131" s="97" t="s">
        <v>520</v>
      </c>
    </row>
    <row r="132" spans="1:23" ht="20.100000000000001" customHeight="1">
      <c r="C132" s="4"/>
      <c r="F132" s="207"/>
      <c r="J132" s="196"/>
      <c r="K132" s="199"/>
      <c r="O132" s="1"/>
      <c r="P132" s="65"/>
      <c r="Q132" s="1" t="s">
        <v>519</v>
      </c>
      <c r="R132" s="97" t="s">
        <v>522</v>
      </c>
    </row>
    <row r="133" spans="1:23" ht="20.100000000000001" customHeight="1">
      <c r="D133" s="4"/>
      <c r="F133" s="1"/>
      <c r="J133" s="196"/>
      <c r="K133" s="199"/>
      <c r="O133" s="1"/>
      <c r="P133" s="35"/>
      <c r="Q133" s="1" t="s">
        <v>521</v>
      </c>
      <c r="R133" s="97" t="s">
        <v>601</v>
      </c>
    </row>
    <row r="134" spans="1:23" ht="20.100000000000001" customHeight="1">
      <c r="D134" s="4"/>
      <c r="K134" s="199"/>
      <c r="O134" s="1"/>
      <c r="P134" s="35"/>
      <c r="Q134" s="1" t="s">
        <v>625</v>
      </c>
      <c r="R134" s="97" t="s">
        <v>524</v>
      </c>
    </row>
    <row r="135" spans="1:23" ht="20.100000000000001" customHeight="1">
      <c r="K135" s="199"/>
      <c r="O135" s="1"/>
      <c r="P135" s="35"/>
      <c r="Q135" s="1" t="s">
        <v>525</v>
      </c>
      <c r="R135" s="97" t="s">
        <v>682</v>
      </c>
    </row>
    <row r="136" spans="1:23" ht="20.100000000000001" customHeight="1">
      <c r="O136" s="1"/>
      <c r="P136" s="35"/>
      <c r="Q136" s="1" t="s">
        <v>529</v>
      </c>
      <c r="R136" s="97" t="s">
        <v>530</v>
      </c>
    </row>
    <row r="137" spans="1:23" ht="20.100000000000001" customHeight="1">
      <c r="K137" s="199"/>
      <c r="O137" s="1"/>
      <c r="P137" s="35"/>
      <c r="Q137" s="1" t="s">
        <v>535</v>
      </c>
      <c r="R137" s="97" t="s">
        <v>517</v>
      </c>
    </row>
    <row r="138" spans="1:23" ht="20.100000000000001" customHeight="1">
      <c r="O138" s="1"/>
      <c r="P138" s="35"/>
      <c r="Q138" s="1" t="s">
        <v>526</v>
      </c>
      <c r="R138" s="97" t="s">
        <v>527</v>
      </c>
    </row>
    <row r="139" spans="1:23" ht="20.100000000000001" customHeight="1">
      <c r="O139" s="1"/>
      <c r="P139" s="35"/>
      <c r="Q139" s="1" t="s">
        <v>528</v>
      </c>
      <c r="R139" s="97" t="s">
        <v>531</v>
      </c>
    </row>
    <row r="140" spans="1:23" ht="20.100000000000001" customHeight="1">
      <c r="O140" s="1"/>
      <c r="P140" s="35"/>
      <c r="Q140" s="1" t="s">
        <v>612</v>
      </c>
      <c r="R140" s="97" t="s">
        <v>613</v>
      </c>
    </row>
    <row r="141" spans="1:23" ht="20.100000000000001" customHeight="1">
      <c r="P141" s="35"/>
      <c r="Q141" s="1" t="s">
        <v>635</v>
      </c>
      <c r="R141" s="97" t="s">
        <v>517</v>
      </c>
    </row>
    <row r="142" spans="1:23" ht="20.100000000000001" customHeight="1">
      <c r="D142" s="4"/>
      <c r="Q142" s="1" t="s">
        <v>738</v>
      </c>
      <c r="R142" s="97" t="s">
        <v>517</v>
      </c>
    </row>
    <row r="143" spans="1:23" ht="20.100000000000001" customHeight="1">
      <c r="D143" s="4"/>
      <c r="F143" s="1"/>
      <c r="O143" s="1"/>
      <c r="Q143" s="1" t="s">
        <v>922</v>
      </c>
      <c r="R143" s="97" t="s">
        <v>923</v>
      </c>
    </row>
    <row r="144" spans="1:23" ht="20.100000000000001" customHeight="1">
      <c r="D144" s="4"/>
      <c r="O144" s="1"/>
    </row>
    <row r="145" spans="4:17" ht="20.100000000000001" customHeight="1">
      <c r="D145" s="4"/>
      <c r="F145" s="1"/>
      <c r="O145" s="1"/>
      <c r="P145" s="97"/>
    </row>
    <row r="146" spans="4:17" ht="20.100000000000001" customHeight="1">
      <c r="D146" s="4"/>
    </row>
    <row r="147" spans="4:17" ht="20.100000000000001" customHeight="1">
      <c r="D147" s="4"/>
      <c r="K147" s="199"/>
      <c r="Q147" s="51">
        <f>66000+132000+762300+1056000+110000+2508000+110000+11220000</f>
        <v>15964300</v>
      </c>
    </row>
  </sheetData>
  <autoFilter ref="A2:AC143" xr:uid="{00000000-0001-0000-0000-000000000000}"/>
  <mergeCells count="2">
    <mergeCell ref="B1:M1"/>
    <mergeCell ref="R130:W130"/>
  </mergeCells>
  <phoneticPr fontId="3" type="noConversion"/>
  <hyperlinks>
    <hyperlink ref="R99" r:id="rId1" display="js.chang@kt.com   으로 표기 및 발행" xr:uid="{3C794C72-2BCD-4E30-ABE3-D5DCAE2C8036}"/>
  </hyperlinks>
  <pageMargins left="0.39370078740157483" right="0.35433070866141736" top="0.39370078740157483" bottom="0.43307086614173229" header="0.31496062992125984" footer="0.31496062992125984"/>
  <pageSetup paperSize="9" fitToWidth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2628-C367-4B03-B35C-221044733FE1}">
  <dimension ref="A2:M104"/>
  <sheetViews>
    <sheetView zoomScale="70" zoomScaleNormal="70" workbookViewId="0">
      <pane ySplit="4" topLeftCell="A5" activePane="bottomLeft" state="frozen"/>
      <selection pane="bottomLeft" activeCell="C38" sqref="C38"/>
    </sheetView>
  </sheetViews>
  <sheetFormatPr defaultRowHeight="16.5"/>
  <cols>
    <col min="1" max="1" width="8.375" customWidth="1"/>
    <col min="2" max="2" width="38.625" customWidth="1"/>
    <col min="3" max="3" width="57.625" customWidth="1"/>
    <col min="4" max="4" width="11.375" customWidth="1"/>
    <col min="5" max="5" width="20.75" customWidth="1"/>
    <col min="6" max="6" width="11.875" style="132" customWidth="1"/>
    <col min="7" max="7" width="15" style="132" customWidth="1"/>
    <col min="8" max="8" width="12.25" style="132" customWidth="1"/>
    <col min="9" max="9" width="56.75" bestFit="1" customWidth="1"/>
    <col min="10" max="10" width="7.125" bestFit="1" customWidth="1"/>
    <col min="11" max="11" width="9" customWidth="1"/>
    <col min="14" max="14" width="10.5" bestFit="1" customWidth="1"/>
  </cols>
  <sheetData>
    <row r="2" spans="1:13">
      <c r="A2" t="s">
        <v>279</v>
      </c>
    </row>
    <row r="3" spans="1:13" ht="17.25" thickBot="1"/>
    <row r="4" spans="1:13" ht="41.25" thickBot="1">
      <c r="A4" s="57" t="s">
        <v>0</v>
      </c>
      <c r="B4" s="156" t="s">
        <v>1</v>
      </c>
      <c r="C4" s="156" t="s">
        <v>147</v>
      </c>
      <c r="D4" s="156" t="s">
        <v>2</v>
      </c>
      <c r="E4" s="156" t="s">
        <v>3</v>
      </c>
      <c r="F4" s="155" t="s">
        <v>5</v>
      </c>
      <c r="G4" s="154" t="s">
        <v>6</v>
      </c>
      <c r="H4" s="153" t="s">
        <v>7</v>
      </c>
      <c r="I4" s="130" t="s">
        <v>134</v>
      </c>
      <c r="J4" s="130" t="s">
        <v>135</v>
      </c>
      <c r="K4" s="131" t="s">
        <v>382</v>
      </c>
    </row>
    <row r="5" spans="1:13">
      <c r="A5" s="139">
        <v>1</v>
      </c>
      <c r="B5" s="139" t="s">
        <v>281</v>
      </c>
      <c r="C5" s="139" t="s">
        <v>233</v>
      </c>
      <c r="D5" s="139" t="s">
        <v>284</v>
      </c>
      <c r="E5" s="139" t="s">
        <v>376</v>
      </c>
      <c r="F5" s="140">
        <v>2300000</v>
      </c>
      <c r="G5" s="140">
        <v>200000</v>
      </c>
      <c r="H5" s="140">
        <f t="shared" ref="H5:H35" si="0">F5-G5</f>
        <v>2100000</v>
      </c>
      <c r="I5" s="141"/>
      <c r="J5" s="141"/>
      <c r="K5" s="142">
        <v>2019.08</v>
      </c>
      <c r="L5" t="s">
        <v>280</v>
      </c>
      <c r="M5" t="s">
        <v>302</v>
      </c>
    </row>
    <row r="6" spans="1:13">
      <c r="A6">
        <v>2</v>
      </c>
      <c r="B6" t="s">
        <v>282</v>
      </c>
      <c r="C6" t="s">
        <v>283</v>
      </c>
      <c r="D6" t="s">
        <v>285</v>
      </c>
      <c r="E6" t="s">
        <v>377</v>
      </c>
      <c r="F6" s="143">
        <v>980000</v>
      </c>
      <c r="G6" s="143">
        <v>970000</v>
      </c>
      <c r="H6" s="143">
        <f t="shared" si="0"/>
        <v>10000</v>
      </c>
      <c r="I6" s="138"/>
      <c r="J6" s="138"/>
      <c r="K6" s="133">
        <v>2019.08</v>
      </c>
      <c r="M6" t="s">
        <v>302</v>
      </c>
    </row>
    <row r="7" spans="1:13">
      <c r="A7">
        <v>3</v>
      </c>
      <c r="B7" t="s">
        <v>256</v>
      </c>
      <c r="C7" t="s">
        <v>369</v>
      </c>
      <c r="D7" t="s">
        <v>342</v>
      </c>
      <c r="E7" t="s">
        <v>196</v>
      </c>
      <c r="F7" s="143">
        <v>400000</v>
      </c>
      <c r="G7" s="143">
        <v>0</v>
      </c>
      <c r="H7" s="143">
        <f t="shared" si="0"/>
        <v>400000</v>
      </c>
      <c r="I7" t="s">
        <v>370</v>
      </c>
      <c r="J7" t="s">
        <v>172</v>
      </c>
      <c r="K7" s="133">
        <v>2019.08</v>
      </c>
      <c r="M7" s="138"/>
    </row>
    <row r="8" spans="1:13">
      <c r="A8">
        <v>4</v>
      </c>
      <c r="B8" t="s">
        <v>287</v>
      </c>
      <c r="C8" t="s">
        <v>288</v>
      </c>
      <c r="D8" t="s">
        <v>289</v>
      </c>
      <c r="E8" t="s">
        <v>378</v>
      </c>
      <c r="F8" s="143">
        <v>120000</v>
      </c>
      <c r="G8" s="143">
        <v>0</v>
      </c>
      <c r="H8" s="143">
        <f t="shared" si="0"/>
        <v>120000</v>
      </c>
      <c r="I8" s="138"/>
      <c r="J8" t="s">
        <v>137</v>
      </c>
      <c r="K8" s="134" t="s">
        <v>307</v>
      </c>
      <c r="M8" t="s">
        <v>302</v>
      </c>
    </row>
    <row r="9" spans="1:13">
      <c r="A9">
        <v>5</v>
      </c>
      <c r="B9" t="s">
        <v>290</v>
      </c>
      <c r="C9" t="s">
        <v>291</v>
      </c>
      <c r="D9" s="135" t="s">
        <v>292</v>
      </c>
      <c r="E9" t="s">
        <v>277</v>
      </c>
      <c r="F9" s="143">
        <v>140000</v>
      </c>
      <c r="G9" s="143">
        <v>0</v>
      </c>
      <c r="H9" s="143">
        <f t="shared" si="0"/>
        <v>140000</v>
      </c>
      <c r="I9" t="s">
        <v>341</v>
      </c>
      <c r="J9" t="s">
        <v>137</v>
      </c>
      <c r="K9" s="134" t="s">
        <v>307</v>
      </c>
      <c r="M9" t="s">
        <v>302</v>
      </c>
    </row>
    <row r="10" spans="1:13">
      <c r="A10">
        <v>7</v>
      </c>
      <c r="B10" t="s">
        <v>294</v>
      </c>
      <c r="C10" t="s">
        <v>272</v>
      </c>
      <c r="D10" t="s">
        <v>295</v>
      </c>
      <c r="E10" t="s">
        <v>379</v>
      </c>
      <c r="F10" s="143">
        <v>2400000</v>
      </c>
      <c r="G10" s="143">
        <v>0</v>
      </c>
      <c r="H10" s="143">
        <f t="shared" si="0"/>
        <v>2400000</v>
      </c>
      <c r="I10" s="138"/>
      <c r="J10" s="138"/>
      <c r="K10" s="134" t="s">
        <v>286</v>
      </c>
      <c r="M10" t="s">
        <v>293</v>
      </c>
    </row>
    <row r="11" spans="1:13" ht="33">
      <c r="A11">
        <v>8</v>
      </c>
      <c r="B11" t="s">
        <v>296</v>
      </c>
      <c r="C11" t="s">
        <v>275</v>
      </c>
      <c r="D11" t="s">
        <v>200</v>
      </c>
      <c r="E11" t="s">
        <v>343</v>
      </c>
      <c r="F11" s="143">
        <v>250000</v>
      </c>
      <c r="G11" s="143">
        <v>0</v>
      </c>
      <c r="H11" s="143">
        <f t="shared" si="0"/>
        <v>250000</v>
      </c>
      <c r="I11" s="137" t="s">
        <v>344</v>
      </c>
      <c r="J11" t="s">
        <v>345</v>
      </c>
      <c r="K11" s="133">
        <v>2019.12</v>
      </c>
      <c r="M11" t="s">
        <v>303</v>
      </c>
    </row>
    <row r="12" spans="1:13">
      <c r="A12">
        <v>9</v>
      </c>
      <c r="B12" t="s">
        <v>297</v>
      </c>
      <c r="C12" t="s">
        <v>298</v>
      </c>
      <c r="D12" s="152">
        <v>43617</v>
      </c>
      <c r="E12" s="138" t="s">
        <v>380</v>
      </c>
      <c r="F12" s="143">
        <v>600000</v>
      </c>
      <c r="G12" s="143">
        <v>0</v>
      </c>
      <c r="H12" s="143">
        <f t="shared" si="0"/>
        <v>600000</v>
      </c>
      <c r="I12" s="138"/>
      <c r="J12" t="s">
        <v>136</v>
      </c>
      <c r="K12" s="133">
        <v>2019.12</v>
      </c>
      <c r="M12" t="s">
        <v>303</v>
      </c>
    </row>
    <row r="13" spans="1:13">
      <c r="A13">
        <v>10</v>
      </c>
      <c r="B13" t="s">
        <v>297</v>
      </c>
      <c r="C13" t="s">
        <v>299</v>
      </c>
      <c r="D13" s="152">
        <v>43609</v>
      </c>
      <c r="E13" s="138" t="s">
        <v>381</v>
      </c>
      <c r="F13" s="143">
        <v>1960000</v>
      </c>
      <c r="G13" s="143">
        <v>900000</v>
      </c>
      <c r="H13" s="143">
        <f t="shared" si="0"/>
        <v>1060000</v>
      </c>
      <c r="I13" s="138"/>
      <c r="J13" t="s">
        <v>136</v>
      </c>
      <c r="K13" s="133">
        <v>2019.12</v>
      </c>
      <c r="M13" t="s">
        <v>303</v>
      </c>
    </row>
    <row r="14" spans="1:13">
      <c r="A14">
        <v>11</v>
      </c>
      <c r="B14" t="s">
        <v>300</v>
      </c>
      <c r="C14" t="s">
        <v>301</v>
      </c>
      <c r="D14" s="138"/>
      <c r="E14" s="138"/>
      <c r="F14" s="143">
        <v>500000</v>
      </c>
      <c r="G14" s="143">
        <v>400000</v>
      </c>
      <c r="H14" s="143">
        <f t="shared" si="0"/>
        <v>100000</v>
      </c>
      <c r="I14" s="138"/>
      <c r="J14" t="s">
        <v>172</v>
      </c>
      <c r="K14" s="133">
        <v>2019.12</v>
      </c>
      <c r="M14" t="s">
        <v>303</v>
      </c>
    </row>
    <row r="15" spans="1:13">
      <c r="A15" s="148">
        <v>12</v>
      </c>
      <c r="B15" s="148" t="s">
        <v>257</v>
      </c>
      <c r="C15" s="148" t="s">
        <v>204</v>
      </c>
      <c r="D15" s="148" t="s">
        <v>304</v>
      </c>
      <c r="E15" s="148" t="s">
        <v>375</v>
      </c>
      <c r="F15" s="149">
        <v>350000</v>
      </c>
      <c r="G15" s="149">
        <v>0</v>
      </c>
      <c r="H15" s="149">
        <f t="shared" si="0"/>
        <v>350000</v>
      </c>
      <c r="I15" s="148" t="s">
        <v>305</v>
      </c>
      <c r="J15" s="148" t="s">
        <v>137</v>
      </c>
      <c r="K15" s="150">
        <v>2020.01</v>
      </c>
      <c r="M15" t="s">
        <v>306</v>
      </c>
    </row>
    <row r="16" spans="1:13">
      <c r="A16">
        <v>13</v>
      </c>
      <c r="B16" t="s">
        <v>308</v>
      </c>
      <c r="C16" t="s">
        <v>309</v>
      </c>
      <c r="D16" t="s">
        <v>312</v>
      </c>
      <c r="E16" t="s">
        <v>374</v>
      </c>
      <c r="F16" s="143">
        <v>950000</v>
      </c>
      <c r="G16" s="143">
        <v>0</v>
      </c>
      <c r="H16" s="143">
        <f t="shared" si="0"/>
        <v>950000</v>
      </c>
      <c r="I16" t="s">
        <v>138</v>
      </c>
      <c r="J16" t="s">
        <v>136</v>
      </c>
      <c r="K16" s="133">
        <v>2020.02</v>
      </c>
      <c r="M16" t="s">
        <v>314</v>
      </c>
    </row>
    <row r="17" spans="1:13">
      <c r="A17">
        <v>14</v>
      </c>
      <c r="B17" t="s">
        <v>310</v>
      </c>
      <c r="C17" t="s">
        <v>311</v>
      </c>
      <c r="D17" t="s">
        <v>313</v>
      </c>
      <c r="E17" t="s">
        <v>278</v>
      </c>
      <c r="F17" s="143">
        <v>1300000</v>
      </c>
      <c r="G17" s="143">
        <v>0</v>
      </c>
      <c r="H17" s="143">
        <f t="shared" si="0"/>
        <v>1300000</v>
      </c>
      <c r="I17" t="s">
        <v>359</v>
      </c>
      <c r="J17" t="s">
        <v>136</v>
      </c>
      <c r="K17" s="133">
        <v>2020.02</v>
      </c>
      <c r="M17" t="s">
        <v>314</v>
      </c>
    </row>
    <row r="18" spans="1:13">
      <c r="A18">
        <v>15</v>
      </c>
      <c r="B18" t="s">
        <v>316</v>
      </c>
      <c r="C18" t="s">
        <v>317</v>
      </c>
      <c r="D18" t="s">
        <v>318</v>
      </c>
      <c r="E18" t="s">
        <v>348</v>
      </c>
      <c r="F18" s="143">
        <v>300000</v>
      </c>
      <c r="G18" s="143">
        <v>0</v>
      </c>
      <c r="H18" s="143">
        <f t="shared" si="0"/>
        <v>300000</v>
      </c>
      <c r="I18" t="s">
        <v>349</v>
      </c>
      <c r="J18" t="s">
        <v>171</v>
      </c>
      <c r="K18" s="133">
        <v>2020.03</v>
      </c>
      <c r="M18" t="s">
        <v>315</v>
      </c>
    </row>
    <row r="19" spans="1:13" ht="33">
      <c r="A19">
        <v>16</v>
      </c>
      <c r="B19" t="s">
        <v>319</v>
      </c>
      <c r="C19" t="s">
        <v>317</v>
      </c>
      <c r="D19" t="s">
        <v>312</v>
      </c>
      <c r="E19" t="s">
        <v>346</v>
      </c>
      <c r="F19" s="143">
        <v>100000</v>
      </c>
      <c r="G19" s="143">
        <v>0</v>
      </c>
      <c r="H19" s="143">
        <f t="shared" si="0"/>
        <v>100000</v>
      </c>
      <c r="I19" s="137" t="s">
        <v>347</v>
      </c>
      <c r="J19" t="s">
        <v>171</v>
      </c>
      <c r="K19" s="133">
        <v>2020.03</v>
      </c>
      <c r="M19" t="s">
        <v>315</v>
      </c>
    </row>
    <row r="20" spans="1:13">
      <c r="A20">
        <v>17</v>
      </c>
      <c r="B20" t="s">
        <v>320</v>
      </c>
      <c r="C20" t="s">
        <v>364</v>
      </c>
      <c r="D20" t="s">
        <v>342</v>
      </c>
      <c r="E20" t="s">
        <v>373</v>
      </c>
      <c r="F20" s="143">
        <v>400000</v>
      </c>
      <c r="G20" s="143">
        <v>0</v>
      </c>
      <c r="H20" s="144">
        <f t="shared" si="0"/>
        <v>400000</v>
      </c>
      <c r="I20" t="s">
        <v>365</v>
      </c>
      <c r="J20" t="s">
        <v>172</v>
      </c>
      <c r="K20" s="133">
        <v>2020.03</v>
      </c>
      <c r="M20" t="s">
        <v>315</v>
      </c>
    </row>
    <row r="21" spans="1:13">
      <c r="A21">
        <v>18</v>
      </c>
      <c r="B21" t="s">
        <v>321</v>
      </c>
      <c r="C21" t="s">
        <v>317</v>
      </c>
      <c r="D21" t="s">
        <v>323</v>
      </c>
      <c r="E21" t="s">
        <v>322</v>
      </c>
      <c r="F21" s="143">
        <v>1000000</v>
      </c>
      <c r="G21" s="143">
        <v>150000</v>
      </c>
      <c r="H21" s="144">
        <f t="shared" si="0"/>
        <v>850000</v>
      </c>
      <c r="I21" t="s">
        <v>358</v>
      </c>
      <c r="J21" t="s">
        <v>136</v>
      </c>
      <c r="K21" s="133">
        <v>2020.04</v>
      </c>
      <c r="M21" t="s">
        <v>315</v>
      </c>
    </row>
    <row r="22" spans="1:13">
      <c r="A22">
        <v>19</v>
      </c>
      <c r="B22" t="s">
        <v>320</v>
      </c>
      <c r="C22" t="s">
        <v>363</v>
      </c>
      <c r="D22" s="138"/>
      <c r="E22" s="138"/>
      <c r="F22" s="143">
        <v>550000</v>
      </c>
      <c r="G22" s="143">
        <v>0</v>
      </c>
      <c r="H22" s="144">
        <f t="shared" si="0"/>
        <v>550000</v>
      </c>
      <c r="I22" t="s">
        <v>365</v>
      </c>
      <c r="J22" t="s">
        <v>172</v>
      </c>
      <c r="K22" s="133">
        <v>2020.04</v>
      </c>
      <c r="M22" t="s">
        <v>328</v>
      </c>
    </row>
    <row r="23" spans="1:13">
      <c r="A23">
        <v>20</v>
      </c>
      <c r="B23" t="s">
        <v>325</v>
      </c>
      <c r="C23" t="s">
        <v>213</v>
      </c>
      <c r="D23" t="s">
        <v>327</v>
      </c>
      <c r="E23" t="s">
        <v>350</v>
      </c>
      <c r="F23" s="143">
        <v>250000</v>
      </c>
      <c r="G23" s="143">
        <v>150000</v>
      </c>
      <c r="H23" s="144">
        <f t="shared" si="0"/>
        <v>100000</v>
      </c>
      <c r="I23" t="s">
        <v>352</v>
      </c>
      <c r="J23" t="s">
        <v>137</v>
      </c>
      <c r="K23" s="133">
        <v>2020.05</v>
      </c>
      <c r="M23" t="s">
        <v>324</v>
      </c>
    </row>
    <row r="24" spans="1:13">
      <c r="A24">
        <v>21</v>
      </c>
      <c r="B24" t="s">
        <v>325</v>
      </c>
      <c r="C24" t="s">
        <v>371</v>
      </c>
      <c r="D24" t="s">
        <v>326</v>
      </c>
      <c r="E24" t="s">
        <v>351</v>
      </c>
      <c r="F24" s="143">
        <v>200000</v>
      </c>
      <c r="G24" s="143">
        <v>0</v>
      </c>
      <c r="H24" s="144">
        <f t="shared" si="0"/>
        <v>200000</v>
      </c>
      <c r="I24" t="s">
        <v>352</v>
      </c>
      <c r="J24" t="s">
        <v>137</v>
      </c>
      <c r="K24" s="133">
        <v>2020.05</v>
      </c>
      <c r="M24" t="s">
        <v>324</v>
      </c>
    </row>
    <row r="25" spans="1:13">
      <c r="A25">
        <v>22</v>
      </c>
      <c r="B25" t="s">
        <v>320</v>
      </c>
      <c r="C25" t="s">
        <v>362</v>
      </c>
      <c r="D25" s="138"/>
      <c r="E25" s="138"/>
      <c r="F25" s="143">
        <v>1000000</v>
      </c>
      <c r="G25" s="143">
        <v>0</v>
      </c>
      <c r="H25" s="144">
        <f t="shared" si="0"/>
        <v>1000000</v>
      </c>
      <c r="I25" t="s">
        <v>365</v>
      </c>
      <c r="J25" t="s">
        <v>172</v>
      </c>
      <c r="K25" s="133">
        <v>2020.05</v>
      </c>
      <c r="M25" t="s">
        <v>328</v>
      </c>
    </row>
    <row r="26" spans="1:13">
      <c r="A26">
        <v>23</v>
      </c>
      <c r="B26" t="s">
        <v>329</v>
      </c>
      <c r="C26" t="s">
        <v>330</v>
      </c>
      <c r="D26" t="s">
        <v>331</v>
      </c>
      <c r="E26" t="s">
        <v>353</v>
      </c>
      <c r="F26" s="143">
        <v>1450000</v>
      </c>
      <c r="G26" s="143">
        <v>0</v>
      </c>
      <c r="H26" s="144">
        <f t="shared" si="0"/>
        <v>1450000</v>
      </c>
      <c r="I26" t="s">
        <v>354</v>
      </c>
      <c r="J26" t="s">
        <v>137</v>
      </c>
      <c r="K26" s="133">
        <v>2020.07</v>
      </c>
      <c r="M26" t="s">
        <v>332</v>
      </c>
    </row>
    <row r="27" spans="1:13">
      <c r="A27">
        <v>24</v>
      </c>
      <c r="B27" t="s">
        <v>333</v>
      </c>
      <c r="C27" t="s">
        <v>330</v>
      </c>
      <c r="D27" t="s">
        <v>334</v>
      </c>
      <c r="E27" t="s">
        <v>355</v>
      </c>
      <c r="F27" s="143">
        <v>900000</v>
      </c>
      <c r="G27" s="143">
        <v>0</v>
      </c>
      <c r="H27" s="143">
        <f t="shared" si="0"/>
        <v>900000</v>
      </c>
      <c r="I27" t="s">
        <v>356</v>
      </c>
      <c r="J27" t="s">
        <v>137</v>
      </c>
      <c r="K27" s="133">
        <v>2020.07</v>
      </c>
      <c r="M27" t="s">
        <v>332</v>
      </c>
    </row>
    <row r="28" spans="1:13">
      <c r="A28">
        <v>25</v>
      </c>
      <c r="B28" t="s">
        <v>335</v>
      </c>
      <c r="C28" t="s">
        <v>272</v>
      </c>
      <c r="D28" t="s">
        <v>357</v>
      </c>
      <c r="E28" t="s">
        <v>372</v>
      </c>
      <c r="F28" s="143">
        <v>400000</v>
      </c>
      <c r="G28" s="143">
        <v>0</v>
      </c>
      <c r="H28" s="143">
        <f t="shared" si="0"/>
        <v>400000</v>
      </c>
      <c r="I28" t="s">
        <v>358</v>
      </c>
      <c r="J28" t="s">
        <v>136</v>
      </c>
      <c r="K28" s="133">
        <v>2020.09</v>
      </c>
      <c r="M28" t="s">
        <v>293</v>
      </c>
    </row>
    <row r="29" spans="1:13">
      <c r="A29">
        <v>26</v>
      </c>
      <c r="B29" t="s">
        <v>336</v>
      </c>
      <c r="C29" t="s">
        <v>337</v>
      </c>
      <c r="D29" t="s">
        <v>338</v>
      </c>
      <c r="E29" t="s">
        <v>360</v>
      </c>
      <c r="F29" s="143">
        <v>201600</v>
      </c>
      <c r="G29" s="143">
        <v>0</v>
      </c>
      <c r="H29" s="143">
        <f t="shared" si="0"/>
        <v>201600</v>
      </c>
      <c r="I29" t="s">
        <v>361</v>
      </c>
      <c r="J29" t="s">
        <v>137</v>
      </c>
      <c r="K29" s="136" t="s">
        <v>339</v>
      </c>
      <c r="M29" t="s">
        <v>340</v>
      </c>
    </row>
    <row r="30" spans="1:13">
      <c r="A30" s="145">
        <v>27</v>
      </c>
      <c r="B30" s="145" t="s">
        <v>251</v>
      </c>
      <c r="C30" s="145" t="s">
        <v>366</v>
      </c>
      <c r="D30" s="145" t="s">
        <v>327</v>
      </c>
      <c r="E30" s="145" t="s">
        <v>367</v>
      </c>
      <c r="F30" s="146">
        <v>50000</v>
      </c>
      <c r="G30" s="146">
        <v>0</v>
      </c>
      <c r="H30" s="146">
        <f t="shared" si="0"/>
        <v>50000</v>
      </c>
      <c r="I30" s="145" t="s">
        <v>368</v>
      </c>
      <c r="J30" s="145" t="s">
        <v>136</v>
      </c>
      <c r="K30" s="147">
        <v>2020.11</v>
      </c>
    </row>
    <row r="31" spans="1:13">
      <c r="A31">
        <v>28</v>
      </c>
      <c r="B31" t="s">
        <v>254</v>
      </c>
      <c r="C31" t="s">
        <v>275</v>
      </c>
      <c r="D31" t="s">
        <v>327</v>
      </c>
      <c r="E31" t="s">
        <v>394</v>
      </c>
      <c r="F31" s="132">
        <v>300000</v>
      </c>
      <c r="G31" s="132">
        <v>0</v>
      </c>
      <c r="H31" s="132">
        <f t="shared" si="0"/>
        <v>300000</v>
      </c>
      <c r="I31" t="s">
        <v>397</v>
      </c>
      <c r="J31" t="s">
        <v>136</v>
      </c>
      <c r="K31" s="133">
        <v>2020.12</v>
      </c>
      <c r="M31" t="s">
        <v>391</v>
      </c>
    </row>
    <row r="32" spans="1:13">
      <c r="A32">
        <v>29</v>
      </c>
      <c r="B32" t="s">
        <v>390</v>
      </c>
      <c r="C32" t="s">
        <v>275</v>
      </c>
      <c r="D32" t="s">
        <v>393</v>
      </c>
      <c r="E32" t="s">
        <v>392</v>
      </c>
      <c r="F32" s="132">
        <v>2100000</v>
      </c>
      <c r="G32" s="132">
        <v>0</v>
      </c>
      <c r="H32" s="132">
        <f t="shared" si="0"/>
        <v>2100000</v>
      </c>
      <c r="I32" t="s">
        <v>398</v>
      </c>
      <c r="J32" t="s">
        <v>136</v>
      </c>
      <c r="K32" s="133">
        <v>2020.12</v>
      </c>
      <c r="M32" t="s">
        <v>391</v>
      </c>
    </row>
    <row r="33" spans="1:13">
      <c r="A33">
        <v>30</v>
      </c>
      <c r="B33" t="s">
        <v>403</v>
      </c>
      <c r="C33" t="s">
        <v>395</v>
      </c>
      <c r="D33" t="s">
        <v>404</v>
      </c>
      <c r="E33" t="s">
        <v>405</v>
      </c>
      <c r="F33" s="132">
        <v>3212550</v>
      </c>
      <c r="G33" s="132">
        <v>915000</v>
      </c>
      <c r="H33" s="132">
        <f t="shared" si="0"/>
        <v>2297550</v>
      </c>
      <c r="I33" t="s">
        <v>422</v>
      </c>
      <c r="J33" t="s">
        <v>172</v>
      </c>
      <c r="K33" s="133">
        <v>2021.01</v>
      </c>
    </row>
    <row r="34" spans="1:13">
      <c r="A34">
        <v>31</v>
      </c>
      <c r="B34" t="s">
        <v>403</v>
      </c>
      <c r="C34" t="s">
        <v>396</v>
      </c>
      <c r="D34" t="s">
        <v>406</v>
      </c>
      <c r="E34" t="s">
        <v>407</v>
      </c>
      <c r="F34" s="132">
        <v>1094000</v>
      </c>
      <c r="G34" s="132">
        <v>0</v>
      </c>
      <c r="H34" s="132">
        <f t="shared" si="0"/>
        <v>1094000</v>
      </c>
      <c r="I34" t="s">
        <v>422</v>
      </c>
      <c r="J34" t="s">
        <v>172</v>
      </c>
      <c r="K34" s="133">
        <v>2021.01</v>
      </c>
    </row>
    <row r="35" spans="1:13">
      <c r="A35">
        <v>32</v>
      </c>
      <c r="B35" t="s">
        <v>389</v>
      </c>
      <c r="C35" t="s">
        <v>413</v>
      </c>
      <c r="D35" t="s">
        <v>414</v>
      </c>
      <c r="E35" t="s">
        <v>420</v>
      </c>
      <c r="F35" s="132">
        <v>130500</v>
      </c>
      <c r="G35" s="132">
        <f>97745+5</f>
        <v>97750</v>
      </c>
      <c r="H35" s="132">
        <f t="shared" si="0"/>
        <v>32750</v>
      </c>
      <c r="I35" t="s">
        <v>421</v>
      </c>
      <c r="J35" t="s">
        <v>137</v>
      </c>
      <c r="K35" s="133">
        <v>2021.03</v>
      </c>
      <c r="M35" t="s">
        <v>418</v>
      </c>
    </row>
    <row r="36" spans="1:13">
      <c r="A36" s="164"/>
      <c r="B36" s="164" t="s">
        <v>429</v>
      </c>
      <c r="C36" s="164" t="s">
        <v>424</v>
      </c>
      <c r="D36" s="164" t="s">
        <v>436</v>
      </c>
      <c r="E36" s="164" t="s">
        <v>430</v>
      </c>
      <c r="F36" s="165"/>
      <c r="G36" s="165">
        <v>35800</v>
      </c>
      <c r="H36" s="165"/>
      <c r="I36" s="164" t="s">
        <v>426</v>
      </c>
      <c r="J36" s="164" t="s">
        <v>428</v>
      </c>
      <c r="K36" s="164"/>
    </row>
    <row r="37" spans="1:13">
      <c r="A37" s="164"/>
      <c r="B37" s="164" t="s">
        <v>431</v>
      </c>
      <c r="C37" s="164" t="s">
        <v>424</v>
      </c>
      <c r="D37" s="164" t="s">
        <v>437</v>
      </c>
      <c r="E37" s="164" t="s">
        <v>432</v>
      </c>
      <c r="F37" s="165"/>
      <c r="G37" s="165">
        <v>9800</v>
      </c>
      <c r="H37" s="165"/>
      <c r="I37" s="164" t="s">
        <v>426</v>
      </c>
      <c r="J37" s="164" t="s">
        <v>428</v>
      </c>
      <c r="K37" s="164"/>
    </row>
    <row r="38" spans="1:13">
      <c r="A38" s="164"/>
      <c r="B38" s="164" t="s">
        <v>423</v>
      </c>
      <c r="C38" s="164" t="s">
        <v>424</v>
      </c>
      <c r="D38" s="164" t="s">
        <v>427</v>
      </c>
      <c r="E38" s="164" t="s">
        <v>425</v>
      </c>
      <c r="F38" s="165"/>
      <c r="G38" s="165">
        <v>27300</v>
      </c>
      <c r="H38" s="165"/>
      <c r="I38" s="164" t="s">
        <v>426</v>
      </c>
      <c r="J38" s="164" t="s">
        <v>428</v>
      </c>
      <c r="K38" s="164"/>
    </row>
    <row r="39" spans="1:13" ht="15.75" customHeight="1">
      <c r="A39" s="164"/>
      <c r="B39" s="164" t="s">
        <v>433</v>
      </c>
      <c r="C39" s="164" t="s">
        <v>424</v>
      </c>
      <c r="D39" s="164" t="s">
        <v>434</v>
      </c>
      <c r="E39" s="164" t="s">
        <v>435</v>
      </c>
      <c r="F39" s="165"/>
      <c r="G39" s="165">
        <v>2000</v>
      </c>
      <c r="H39" s="165"/>
      <c r="I39" s="164" t="s">
        <v>426</v>
      </c>
      <c r="J39" s="164" t="s">
        <v>428</v>
      </c>
      <c r="K39" s="164"/>
    </row>
    <row r="40" spans="1:13">
      <c r="A40">
        <v>33</v>
      </c>
      <c r="B40" t="s">
        <v>438</v>
      </c>
      <c r="C40" t="s">
        <v>439</v>
      </c>
      <c r="D40" s="135" t="s">
        <v>440</v>
      </c>
      <c r="E40" t="s">
        <v>450</v>
      </c>
      <c r="F40" s="132">
        <v>10920</v>
      </c>
      <c r="G40" s="132">
        <v>1100</v>
      </c>
      <c r="H40" s="132">
        <f t="shared" ref="H40:H47" si="1">F40-G40</f>
        <v>9820</v>
      </c>
      <c r="I40" t="s">
        <v>449</v>
      </c>
      <c r="J40" t="s">
        <v>172</v>
      </c>
      <c r="K40" s="133">
        <v>2021.04</v>
      </c>
    </row>
    <row r="41" spans="1:13">
      <c r="A41">
        <v>34</v>
      </c>
      <c r="B41" t="s">
        <v>442</v>
      </c>
      <c r="C41" t="s">
        <v>213</v>
      </c>
      <c r="D41" s="135">
        <v>2017.05</v>
      </c>
      <c r="E41" t="s">
        <v>443</v>
      </c>
      <c r="F41" s="132">
        <v>700000</v>
      </c>
      <c r="G41" s="132">
        <v>0</v>
      </c>
      <c r="H41" s="132">
        <f t="shared" si="1"/>
        <v>700000</v>
      </c>
      <c r="I41" t="s">
        <v>448</v>
      </c>
      <c r="J41" t="s">
        <v>428</v>
      </c>
      <c r="K41" s="133"/>
    </row>
    <row r="42" spans="1:13">
      <c r="A42">
        <v>35</v>
      </c>
      <c r="B42" t="s">
        <v>442</v>
      </c>
      <c r="C42" t="s">
        <v>441</v>
      </c>
      <c r="D42">
        <v>2019.04</v>
      </c>
      <c r="E42" t="s">
        <v>451</v>
      </c>
      <c r="F42" s="132">
        <v>90000</v>
      </c>
      <c r="G42" s="132">
        <v>0</v>
      </c>
      <c r="H42" s="132">
        <f t="shared" si="1"/>
        <v>90000</v>
      </c>
      <c r="I42" t="s">
        <v>452</v>
      </c>
      <c r="J42" t="s">
        <v>428</v>
      </c>
      <c r="K42">
        <v>2021.04</v>
      </c>
    </row>
    <row r="43" spans="1:13">
      <c r="A43">
        <v>36</v>
      </c>
      <c r="B43" t="s">
        <v>458</v>
      </c>
      <c r="C43" t="s">
        <v>220</v>
      </c>
      <c r="D43" t="s">
        <v>327</v>
      </c>
      <c r="E43" t="s">
        <v>459</v>
      </c>
      <c r="F43" s="132">
        <v>500000</v>
      </c>
      <c r="G43" s="132">
        <v>0</v>
      </c>
      <c r="H43" s="132">
        <f t="shared" si="1"/>
        <v>500000</v>
      </c>
      <c r="I43" t="s">
        <v>462</v>
      </c>
      <c r="J43" t="s">
        <v>136</v>
      </c>
      <c r="K43">
        <v>2021.07</v>
      </c>
    </row>
    <row r="44" spans="1:13">
      <c r="A44">
        <v>90</v>
      </c>
      <c r="B44" t="s">
        <v>408</v>
      </c>
      <c r="C44" t="s">
        <v>205</v>
      </c>
      <c r="D44" t="s">
        <v>409</v>
      </c>
      <c r="E44" t="s">
        <v>410</v>
      </c>
      <c r="F44" s="132">
        <v>500000</v>
      </c>
      <c r="G44" s="132">
        <v>0</v>
      </c>
      <c r="H44" s="132">
        <f t="shared" si="1"/>
        <v>500000</v>
      </c>
      <c r="I44" t="s">
        <v>498</v>
      </c>
      <c r="J44" t="s">
        <v>172</v>
      </c>
      <c r="K44">
        <v>2022.03</v>
      </c>
    </row>
    <row r="45" spans="1:13">
      <c r="A45">
        <v>94</v>
      </c>
      <c r="B45" t="s">
        <v>419</v>
      </c>
      <c r="C45" t="s">
        <v>205</v>
      </c>
      <c r="D45" t="s">
        <v>409</v>
      </c>
      <c r="E45" t="s">
        <v>410</v>
      </c>
      <c r="F45" s="132">
        <v>4342500</v>
      </c>
      <c r="G45" s="132">
        <v>0</v>
      </c>
      <c r="H45" s="132">
        <f t="shared" si="1"/>
        <v>4342500</v>
      </c>
      <c r="I45" t="s">
        <v>498</v>
      </c>
      <c r="J45" t="s">
        <v>172</v>
      </c>
      <c r="K45">
        <v>2022.03</v>
      </c>
    </row>
    <row r="46" spans="1:13">
      <c r="A46">
        <v>95</v>
      </c>
      <c r="B46" t="s">
        <v>419</v>
      </c>
      <c r="C46" t="s">
        <v>154</v>
      </c>
      <c r="D46" t="s">
        <v>409</v>
      </c>
      <c r="E46" t="s">
        <v>410</v>
      </c>
      <c r="F46" s="132">
        <v>907500</v>
      </c>
      <c r="G46" s="132">
        <v>0</v>
      </c>
      <c r="H46" s="132">
        <f t="shared" si="1"/>
        <v>907500</v>
      </c>
      <c r="I46" t="s">
        <v>498</v>
      </c>
      <c r="J46" t="s">
        <v>172</v>
      </c>
      <c r="K46">
        <v>2022.03</v>
      </c>
    </row>
    <row r="47" spans="1:13">
      <c r="A47">
        <v>96</v>
      </c>
      <c r="B47" t="s">
        <v>245</v>
      </c>
      <c r="C47" t="s">
        <v>500</v>
      </c>
      <c r="D47" t="s">
        <v>66</v>
      </c>
      <c r="E47" t="s">
        <v>503</v>
      </c>
      <c r="F47" s="132">
        <v>400000</v>
      </c>
      <c r="H47" s="132">
        <f t="shared" si="1"/>
        <v>400000</v>
      </c>
      <c r="I47" t="s">
        <v>501</v>
      </c>
      <c r="J47" t="s">
        <v>502</v>
      </c>
      <c r="K47">
        <v>2021.09</v>
      </c>
    </row>
    <row r="48" spans="1:13">
      <c r="A48">
        <v>97</v>
      </c>
      <c r="B48" t="s">
        <v>176</v>
      </c>
      <c r="C48" t="s">
        <v>499</v>
      </c>
      <c r="F48" s="178">
        <v>600000</v>
      </c>
      <c r="G48" s="178">
        <v>0</v>
      </c>
      <c r="H48" s="178">
        <f t="shared" ref="H48:H56" si="2">F48-G48</f>
        <v>600000</v>
      </c>
      <c r="I48" t="s">
        <v>508</v>
      </c>
      <c r="J48" t="s">
        <v>172</v>
      </c>
      <c r="K48">
        <v>2021.12</v>
      </c>
    </row>
    <row r="49" spans="1:11">
      <c r="A49">
        <v>98</v>
      </c>
      <c r="B49" t="s">
        <v>217</v>
      </c>
      <c r="C49" t="s">
        <v>500</v>
      </c>
      <c r="D49" t="s">
        <v>384</v>
      </c>
      <c r="E49" t="s">
        <v>218</v>
      </c>
      <c r="F49" s="178">
        <v>550000</v>
      </c>
      <c r="G49" s="178">
        <v>0</v>
      </c>
      <c r="H49" s="178">
        <f t="shared" si="2"/>
        <v>550000</v>
      </c>
      <c r="I49" s="137" t="s">
        <v>509</v>
      </c>
      <c r="J49" t="s">
        <v>502</v>
      </c>
      <c r="K49">
        <v>2022.06</v>
      </c>
    </row>
    <row r="50" spans="1:11">
      <c r="A50">
        <v>99</v>
      </c>
      <c r="B50" t="s">
        <v>466</v>
      </c>
      <c r="C50" t="s">
        <v>276</v>
      </c>
      <c r="D50" t="s">
        <v>464</v>
      </c>
      <c r="E50" t="s">
        <v>537</v>
      </c>
      <c r="F50" s="178">
        <v>400000</v>
      </c>
      <c r="G50" s="178">
        <v>0</v>
      </c>
      <c r="H50" s="178">
        <f t="shared" si="2"/>
        <v>400000</v>
      </c>
      <c r="I50" s="137" t="s">
        <v>538</v>
      </c>
      <c r="J50" t="s">
        <v>539</v>
      </c>
      <c r="K50">
        <v>2022.07</v>
      </c>
    </row>
    <row r="51" spans="1:11">
      <c r="A51">
        <v>100</v>
      </c>
      <c r="B51" t="s">
        <v>540</v>
      </c>
      <c r="C51" t="s">
        <v>276</v>
      </c>
      <c r="D51" t="s">
        <v>127</v>
      </c>
      <c r="E51" t="s">
        <v>128</v>
      </c>
      <c r="F51" s="132">
        <v>250000</v>
      </c>
      <c r="G51" s="178">
        <v>0</v>
      </c>
      <c r="H51" s="178">
        <f t="shared" si="2"/>
        <v>250000</v>
      </c>
      <c r="I51" s="178" t="s">
        <v>541</v>
      </c>
      <c r="J51" t="s">
        <v>539</v>
      </c>
      <c r="K51">
        <v>2022.07</v>
      </c>
    </row>
    <row r="52" spans="1:11">
      <c r="A52">
        <v>101</v>
      </c>
      <c r="B52" t="s">
        <v>540</v>
      </c>
      <c r="C52" t="s">
        <v>183</v>
      </c>
      <c r="D52" t="s">
        <v>182</v>
      </c>
      <c r="E52" t="s">
        <v>534</v>
      </c>
      <c r="F52" s="132">
        <v>540000</v>
      </c>
      <c r="G52" s="178">
        <v>234700</v>
      </c>
      <c r="H52" s="178">
        <f t="shared" si="2"/>
        <v>305300</v>
      </c>
      <c r="I52" t="s">
        <v>542</v>
      </c>
      <c r="J52" t="s">
        <v>539</v>
      </c>
      <c r="K52">
        <v>2022.07</v>
      </c>
    </row>
    <row r="53" spans="1:11">
      <c r="A53">
        <v>102</v>
      </c>
      <c r="B53" t="s">
        <v>52</v>
      </c>
      <c r="C53" t="s">
        <v>181</v>
      </c>
      <c r="D53" t="s">
        <v>110</v>
      </c>
      <c r="E53" t="s">
        <v>579</v>
      </c>
      <c r="F53" s="132">
        <v>100000</v>
      </c>
      <c r="G53" s="178">
        <v>0</v>
      </c>
      <c r="H53" s="178">
        <f t="shared" si="2"/>
        <v>100000</v>
      </c>
      <c r="I53" t="s">
        <v>580</v>
      </c>
      <c r="J53" t="s">
        <v>539</v>
      </c>
      <c r="K53">
        <v>2022.09</v>
      </c>
    </row>
    <row r="54" spans="1:11">
      <c r="A54">
        <v>103</v>
      </c>
      <c r="B54" t="s">
        <v>581</v>
      </c>
      <c r="C54" t="s">
        <v>181</v>
      </c>
      <c r="D54" t="s">
        <v>304</v>
      </c>
      <c r="E54" t="s">
        <v>582</v>
      </c>
      <c r="F54" s="132">
        <v>748000</v>
      </c>
      <c r="G54" s="178">
        <v>500000</v>
      </c>
      <c r="H54" s="178">
        <f t="shared" si="2"/>
        <v>248000</v>
      </c>
      <c r="I54" t="s">
        <v>583</v>
      </c>
      <c r="J54" t="s">
        <v>172</v>
      </c>
      <c r="K54">
        <v>2022.09</v>
      </c>
    </row>
    <row r="55" spans="1:11">
      <c r="A55">
        <v>104</v>
      </c>
      <c r="B55" t="s">
        <v>253</v>
      </c>
      <c r="C55" t="s">
        <v>181</v>
      </c>
      <c r="D55" t="s">
        <v>170</v>
      </c>
      <c r="E55" t="s">
        <v>584</v>
      </c>
      <c r="F55" s="132">
        <v>500000</v>
      </c>
      <c r="G55" s="132">
        <v>0</v>
      </c>
      <c r="H55" s="132">
        <v>500000</v>
      </c>
      <c r="I55" t="s">
        <v>585</v>
      </c>
      <c r="J55" t="s">
        <v>502</v>
      </c>
      <c r="K55">
        <v>2022.09</v>
      </c>
    </row>
    <row r="56" spans="1:11" ht="115.5">
      <c r="A56">
        <v>105</v>
      </c>
      <c r="B56" t="s">
        <v>444</v>
      </c>
      <c r="C56" t="s">
        <v>591</v>
      </c>
      <c r="D56" t="s">
        <v>445</v>
      </c>
      <c r="E56" t="s">
        <v>590</v>
      </c>
      <c r="F56" s="132">
        <v>500000</v>
      </c>
      <c r="G56" s="132">
        <v>0</v>
      </c>
      <c r="H56" s="178">
        <f t="shared" si="2"/>
        <v>500000</v>
      </c>
      <c r="I56" s="137" t="s">
        <v>595</v>
      </c>
      <c r="J56" t="s">
        <v>502</v>
      </c>
      <c r="K56" s="192" t="s">
        <v>592</v>
      </c>
    </row>
    <row r="57" spans="1:11">
      <c r="A57">
        <v>106</v>
      </c>
      <c r="B57" t="s">
        <v>249</v>
      </c>
      <c r="C57" t="s">
        <v>591</v>
      </c>
      <c r="D57" t="s">
        <v>262</v>
      </c>
      <c r="E57" t="s">
        <v>586</v>
      </c>
      <c r="F57" s="132">
        <v>168000</v>
      </c>
      <c r="G57" s="132">
        <v>0</v>
      </c>
      <c r="H57" s="178">
        <f t="shared" ref="H57:H67" si="3">F57-G57</f>
        <v>168000</v>
      </c>
      <c r="I57" t="s">
        <v>593</v>
      </c>
      <c r="J57" t="s">
        <v>539</v>
      </c>
      <c r="K57">
        <v>2022.11</v>
      </c>
    </row>
    <row r="58" spans="1:11">
      <c r="A58">
        <v>107</v>
      </c>
      <c r="B58" t="s">
        <v>510</v>
      </c>
      <c r="C58" t="s">
        <v>591</v>
      </c>
      <c r="D58" t="s">
        <v>511</v>
      </c>
      <c r="E58" t="s">
        <v>512</v>
      </c>
      <c r="F58" s="132">
        <v>500000</v>
      </c>
      <c r="G58" s="132">
        <v>0</v>
      </c>
      <c r="H58" s="178">
        <f t="shared" si="3"/>
        <v>500000</v>
      </c>
      <c r="I58" s="137" t="s">
        <v>594</v>
      </c>
      <c r="J58" t="s">
        <v>539</v>
      </c>
      <c r="K58" s="192" t="s">
        <v>592</v>
      </c>
    </row>
    <row r="59" spans="1:11">
      <c r="A59">
        <v>108</v>
      </c>
      <c r="B59" t="s">
        <v>265</v>
      </c>
      <c r="C59" t="s">
        <v>202</v>
      </c>
      <c r="D59" t="s">
        <v>596</v>
      </c>
      <c r="E59" t="s">
        <v>266</v>
      </c>
      <c r="F59" s="132">
        <v>200000</v>
      </c>
      <c r="G59" s="132">
        <v>100000</v>
      </c>
      <c r="H59" s="178">
        <f t="shared" si="3"/>
        <v>100000</v>
      </c>
      <c r="I59" s="137" t="s">
        <v>597</v>
      </c>
      <c r="J59" t="s">
        <v>137</v>
      </c>
      <c r="K59" s="192">
        <v>2022.04</v>
      </c>
    </row>
    <row r="60" spans="1:11">
      <c r="A60">
        <v>109</v>
      </c>
      <c r="B60" t="s">
        <v>446</v>
      </c>
      <c r="C60" t="s">
        <v>202</v>
      </c>
      <c r="D60" t="s">
        <v>447</v>
      </c>
      <c r="E60" t="s">
        <v>599</v>
      </c>
      <c r="F60" s="132">
        <v>300000</v>
      </c>
      <c r="G60" s="132">
        <v>0</v>
      </c>
      <c r="H60" s="132">
        <f t="shared" si="3"/>
        <v>300000</v>
      </c>
      <c r="I60" s="137" t="s">
        <v>600</v>
      </c>
      <c r="J60" t="s">
        <v>539</v>
      </c>
      <c r="K60">
        <v>2022.12</v>
      </c>
    </row>
    <row r="61" spans="1:11">
      <c r="A61">
        <v>110</v>
      </c>
      <c r="B61" t="s">
        <v>267</v>
      </c>
      <c r="C61" t="s">
        <v>175</v>
      </c>
      <c r="D61" t="s">
        <v>603</v>
      </c>
      <c r="E61" t="s">
        <v>604</v>
      </c>
      <c r="F61" s="132">
        <v>500000</v>
      </c>
      <c r="G61" s="132">
        <v>0</v>
      </c>
      <c r="H61" s="132">
        <f t="shared" si="3"/>
        <v>500000</v>
      </c>
      <c r="I61" s="137" t="s">
        <v>605</v>
      </c>
      <c r="J61" t="s">
        <v>137</v>
      </c>
      <c r="K61">
        <v>2023.01</v>
      </c>
    </row>
    <row r="62" spans="1:11">
      <c r="A62">
        <v>111</v>
      </c>
      <c r="B62" t="s">
        <v>461</v>
      </c>
      <c r="C62" t="s">
        <v>175</v>
      </c>
      <c r="D62" t="s">
        <v>457</v>
      </c>
      <c r="E62" t="s">
        <v>606</v>
      </c>
      <c r="F62" s="132">
        <v>3800000</v>
      </c>
      <c r="G62" s="132">
        <v>0</v>
      </c>
      <c r="H62" s="132">
        <f t="shared" si="3"/>
        <v>3800000</v>
      </c>
      <c r="I62" s="137" t="s">
        <v>607</v>
      </c>
      <c r="J62" t="s">
        <v>137</v>
      </c>
      <c r="K62">
        <v>2022.12</v>
      </c>
    </row>
    <row r="63" spans="1:11">
      <c r="A63">
        <v>112</v>
      </c>
      <c r="B63" t="s">
        <v>16</v>
      </c>
      <c r="C63" t="s">
        <v>175</v>
      </c>
      <c r="D63" t="s">
        <v>79</v>
      </c>
      <c r="E63" t="s">
        <v>608</v>
      </c>
      <c r="F63" s="132">
        <v>150000</v>
      </c>
      <c r="G63" s="132">
        <v>0</v>
      </c>
      <c r="H63" s="132">
        <f t="shared" si="3"/>
        <v>150000</v>
      </c>
      <c r="I63" s="137" t="s">
        <v>609</v>
      </c>
      <c r="J63" t="s">
        <v>137</v>
      </c>
      <c r="K63">
        <v>2023.01</v>
      </c>
    </row>
    <row r="64" spans="1:11" ht="33">
      <c r="A64">
        <v>113</v>
      </c>
      <c r="B64" t="s">
        <v>574</v>
      </c>
      <c r="C64" t="s">
        <v>615</v>
      </c>
      <c r="D64" t="s">
        <v>573</v>
      </c>
      <c r="E64" t="s">
        <v>549</v>
      </c>
      <c r="F64" s="132">
        <v>28612500</v>
      </c>
      <c r="G64" s="132">
        <v>0</v>
      </c>
      <c r="H64" s="132">
        <f t="shared" si="3"/>
        <v>28612500</v>
      </c>
      <c r="I64" s="137" t="s">
        <v>616</v>
      </c>
      <c r="J64" t="s">
        <v>185</v>
      </c>
      <c r="K64">
        <v>2023.01</v>
      </c>
    </row>
    <row r="65" spans="1:11">
      <c r="A65">
        <v>114</v>
      </c>
      <c r="B65" t="s">
        <v>453</v>
      </c>
      <c r="C65" t="s">
        <v>317</v>
      </c>
      <c r="D65" t="s">
        <v>454</v>
      </c>
      <c r="E65" t="s">
        <v>455</v>
      </c>
      <c r="F65" s="132">
        <v>350000</v>
      </c>
      <c r="G65" s="132">
        <v>120000</v>
      </c>
      <c r="H65" s="132">
        <f t="shared" si="3"/>
        <v>230000</v>
      </c>
      <c r="I65" s="137" t="s">
        <v>623</v>
      </c>
      <c r="J65" t="s">
        <v>624</v>
      </c>
      <c r="K65">
        <v>2023.03</v>
      </c>
    </row>
    <row r="66" spans="1:11" ht="33">
      <c r="A66">
        <v>115</v>
      </c>
      <c r="B66" t="s">
        <v>628</v>
      </c>
      <c r="C66" t="s">
        <v>213</v>
      </c>
      <c r="D66" t="s">
        <v>629</v>
      </c>
      <c r="E66" t="s">
        <v>575</v>
      </c>
      <c r="F66" s="132">
        <v>50000</v>
      </c>
      <c r="H66" s="132">
        <f t="shared" si="3"/>
        <v>50000</v>
      </c>
      <c r="I66" s="137" t="s">
        <v>630</v>
      </c>
      <c r="J66" t="s">
        <v>624</v>
      </c>
      <c r="K66">
        <v>2023.05</v>
      </c>
    </row>
    <row r="67" spans="1:11">
      <c r="A67">
        <v>116</v>
      </c>
      <c r="B67" t="s">
        <v>514</v>
      </c>
      <c r="C67" t="s">
        <v>213</v>
      </c>
      <c r="D67" t="s">
        <v>515</v>
      </c>
      <c r="E67" t="s">
        <v>516</v>
      </c>
      <c r="F67" s="132">
        <v>5416000</v>
      </c>
      <c r="H67" s="132">
        <f t="shared" si="3"/>
        <v>5416000</v>
      </c>
      <c r="I67" s="137" t="s">
        <v>633</v>
      </c>
      <c r="J67" t="s">
        <v>172</v>
      </c>
      <c r="K67">
        <v>2023.05</v>
      </c>
    </row>
    <row r="68" spans="1:11">
      <c r="A68">
        <v>117</v>
      </c>
      <c r="B68" t="s">
        <v>635</v>
      </c>
      <c r="C68" t="s">
        <v>213</v>
      </c>
      <c r="D68" t="s">
        <v>159</v>
      </c>
      <c r="E68" t="s">
        <v>636</v>
      </c>
      <c r="F68" s="132">
        <v>1650000</v>
      </c>
      <c r="G68" s="132">
        <v>1000000</v>
      </c>
      <c r="H68" s="132">
        <f t="shared" ref="H68:H97" si="4">F68-G68</f>
        <v>650000</v>
      </c>
      <c r="I68" s="137" t="s">
        <v>637</v>
      </c>
      <c r="J68" t="s">
        <v>137</v>
      </c>
      <c r="K68">
        <v>2023.05</v>
      </c>
    </row>
    <row r="69" spans="1:11">
      <c r="A69">
        <v>118</v>
      </c>
      <c r="B69" t="s">
        <v>252</v>
      </c>
      <c r="C69" t="s">
        <v>638</v>
      </c>
      <c r="D69" t="s">
        <v>649</v>
      </c>
      <c r="E69" t="s">
        <v>178</v>
      </c>
      <c r="F69" s="132">
        <v>1400000</v>
      </c>
      <c r="G69" s="132">
        <v>133333</v>
      </c>
      <c r="H69" s="132">
        <f t="shared" si="4"/>
        <v>1266667</v>
      </c>
      <c r="I69" s="137" t="s">
        <v>650</v>
      </c>
      <c r="J69" t="s">
        <v>624</v>
      </c>
      <c r="K69">
        <v>2023.06</v>
      </c>
    </row>
    <row r="70" spans="1:11">
      <c r="A70">
        <v>119</v>
      </c>
      <c r="B70" t="s">
        <v>651</v>
      </c>
      <c r="C70" t="s">
        <v>638</v>
      </c>
      <c r="D70" t="s">
        <v>652</v>
      </c>
      <c r="E70" t="s">
        <v>653</v>
      </c>
      <c r="F70" s="132">
        <v>100000</v>
      </c>
      <c r="H70" s="132">
        <f t="shared" si="4"/>
        <v>100000</v>
      </c>
      <c r="I70" s="137" t="s">
        <v>654</v>
      </c>
      <c r="J70" t="s">
        <v>624</v>
      </c>
      <c r="K70">
        <v>2023.06</v>
      </c>
    </row>
    <row r="71" spans="1:11">
      <c r="A71">
        <v>120</v>
      </c>
      <c r="B71" t="s">
        <v>656</v>
      </c>
      <c r="C71" t="s">
        <v>655</v>
      </c>
      <c r="D71" t="s">
        <v>657</v>
      </c>
      <c r="E71" t="s">
        <v>658</v>
      </c>
      <c r="F71" s="132">
        <v>200000</v>
      </c>
      <c r="G71" s="132">
        <v>0</v>
      </c>
      <c r="H71" s="132">
        <f t="shared" si="4"/>
        <v>200000</v>
      </c>
      <c r="I71" s="137" t="s">
        <v>659</v>
      </c>
      <c r="J71" t="s">
        <v>624</v>
      </c>
      <c r="K71">
        <v>2023.07</v>
      </c>
    </row>
    <row r="72" spans="1:11">
      <c r="A72">
        <v>121</v>
      </c>
      <c r="B72" t="s">
        <v>543</v>
      </c>
      <c r="C72" t="s">
        <v>689</v>
      </c>
      <c r="D72" t="s">
        <v>544</v>
      </c>
      <c r="E72" t="s">
        <v>691</v>
      </c>
      <c r="F72" s="132">
        <v>200000</v>
      </c>
      <c r="G72" s="132">
        <v>0</v>
      </c>
      <c r="H72" s="132">
        <f t="shared" si="4"/>
        <v>200000</v>
      </c>
      <c r="I72" s="137" t="s">
        <v>692</v>
      </c>
      <c r="J72" t="s">
        <v>624</v>
      </c>
      <c r="K72">
        <v>2023.12</v>
      </c>
    </row>
    <row r="73" spans="1:11">
      <c r="A73">
        <v>122</v>
      </c>
      <c r="B73" t="s">
        <v>543</v>
      </c>
      <c r="C73" t="s">
        <v>690</v>
      </c>
      <c r="D73" t="s">
        <v>544</v>
      </c>
      <c r="E73" t="s">
        <v>691</v>
      </c>
      <c r="F73" s="132">
        <v>100000</v>
      </c>
      <c r="G73" s="132">
        <v>0</v>
      </c>
      <c r="H73" s="132">
        <f t="shared" si="4"/>
        <v>100000</v>
      </c>
      <c r="I73" s="137" t="s">
        <v>692</v>
      </c>
      <c r="J73" t="s">
        <v>624</v>
      </c>
      <c r="K73">
        <v>2023.12</v>
      </c>
    </row>
    <row r="74" spans="1:11" ht="49.5">
      <c r="A74">
        <v>123</v>
      </c>
      <c r="B74" t="s">
        <v>261</v>
      </c>
      <c r="C74" t="s">
        <v>694</v>
      </c>
      <c r="D74" s="135">
        <v>43466</v>
      </c>
      <c r="E74" t="s">
        <v>602</v>
      </c>
      <c r="F74" s="132">
        <v>13000000</v>
      </c>
      <c r="G74" s="132">
        <v>10842001</v>
      </c>
      <c r="H74" s="132">
        <f t="shared" si="4"/>
        <v>2157999</v>
      </c>
      <c r="I74" s="137" t="s">
        <v>697</v>
      </c>
      <c r="J74" t="s">
        <v>172</v>
      </c>
      <c r="K74">
        <v>2024.01</v>
      </c>
    </row>
    <row r="75" spans="1:11">
      <c r="A75">
        <v>124</v>
      </c>
      <c r="B75" t="s">
        <v>698</v>
      </c>
      <c r="C75" t="s">
        <v>204</v>
      </c>
      <c r="D75" t="s">
        <v>700</v>
      </c>
      <c r="E75" t="s">
        <v>699</v>
      </c>
      <c r="F75" s="132">
        <v>300000</v>
      </c>
      <c r="G75" s="132">
        <v>0</v>
      </c>
      <c r="H75" s="132">
        <f t="shared" si="4"/>
        <v>300000</v>
      </c>
      <c r="I75" s="137" t="s">
        <v>701</v>
      </c>
      <c r="J75" t="s">
        <v>624</v>
      </c>
      <c r="K75">
        <v>2024.01</v>
      </c>
    </row>
    <row r="76" spans="1:11">
      <c r="A76">
        <v>125</v>
      </c>
      <c r="B76" t="s">
        <v>176</v>
      </c>
      <c r="C76" t="s">
        <v>709</v>
      </c>
      <c r="D76" t="s">
        <v>713</v>
      </c>
      <c r="E76" t="s">
        <v>614</v>
      </c>
      <c r="F76" s="132">
        <v>37741660</v>
      </c>
      <c r="G76" s="132">
        <v>36886660</v>
      </c>
      <c r="H76" s="132">
        <f t="shared" si="4"/>
        <v>855000</v>
      </c>
      <c r="I76" s="137" t="s">
        <v>714</v>
      </c>
      <c r="J76" t="s">
        <v>172</v>
      </c>
      <c r="K76">
        <v>2023.12</v>
      </c>
    </row>
    <row r="77" spans="1:11">
      <c r="A77">
        <v>126</v>
      </c>
      <c r="B77" t="s">
        <v>719</v>
      </c>
      <c r="C77" t="s">
        <v>174</v>
      </c>
      <c r="D77" t="s">
        <v>720</v>
      </c>
      <c r="E77" t="s">
        <v>727</v>
      </c>
      <c r="F77" s="132">
        <v>300000</v>
      </c>
      <c r="G77" s="132">
        <v>0</v>
      </c>
      <c r="H77" s="132">
        <f t="shared" si="4"/>
        <v>300000</v>
      </c>
      <c r="I77" s="137" t="s">
        <v>701</v>
      </c>
      <c r="J77" t="s">
        <v>721</v>
      </c>
      <c r="K77">
        <v>2024.04</v>
      </c>
    </row>
    <row r="78" spans="1:11">
      <c r="A78">
        <v>127</v>
      </c>
      <c r="B78" t="s">
        <v>514</v>
      </c>
      <c r="C78" t="s">
        <v>174</v>
      </c>
      <c r="D78" t="s">
        <v>665</v>
      </c>
      <c r="E78" t="s">
        <v>728</v>
      </c>
      <c r="F78" s="132">
        <v>1200000</v>
      </c>
      <c r="G78" s="132">
        <v>0</v>
      </c>
      <c r="H78" s="132">
        <f t="shared" si="4"/>
        <v>1200000</v>
      </c>
      <c r="I78" s="137" t="s">
        <v>729</v>
      </c>
      <c r="J78" t="s">
        <v>136</v>
      </c>
      <c r="K78">
        <v>2024.03</v>
      </c>
    </row>
    <row r="79" spans="1:11" ht="33">
      <c r="A79">
        <v>128</v>
      </c>
      <c r="B79" t="s">
        <v>645</v>
      </c>
      <c r="C79" t="s">
        <v>737</v>
      </c>
      <c r="D79" t="s">
        <v>640</v>
      </c>
      <c r="E79" t="s">
        <v>641</v>
      </c>
      <c r="F79" s="132">
        <v>1350000</v>
      </c>
      <c r="G79" s="132">
        <v>0</v>
      </c>
      <c r="H79" s="132">
        <f t="shared" si="4"/>
        <v>1350000</v>
      </c>
      <c r="I79" s="137" t="s">
        <v>741</v>
      </c>
      <c r="J79" t="s">
        <v>137</v>
      </c>
      <c r="K79">
        <v>2024.05</v>
      </c>
    </row>
    <row r="80" spans="1:11">
      <c r="A80">
        <v>129</v>
      </c>
      <c r="B80" t="s">
        <v>20</v>
      </c>
      <c r="C80" t="s">
        <v>220</v>
      </c>
      <c r="D80" t="s">
        <v>76</v>
      </c>
      <c r="E80" t="s">
        <v>743</v>
      </c>
      <c r="F80" s="132">
        <v>200000</v>
      </c>
      <c r="G80" s="132">
        <v>0</v>
      </c>
      <c r="H80" s="132">
        <f t="shared" si="4"/>
        <v>200000</v>
      </c>
      <c r="I80" s="137" t="s">
        <v>742</v>
      </c>
      <c r="J80" t="s">
        <v>721</v>
      </c>
      <c r="K80">
        <v>2024.06</v>
      </c>
    </row>
    <row r="81" spans="1:11">
      <c r="A81">
        <v>130</v>
      </c>
      <c r="B81" t="s">
        <v>739</v>
      </c>
      <c r="C81" t="s">
        <v>276</v>
      </c>
      <c r="D81" t="s">
        <v>749</v>
      </c>
      <c r="E81" t="s">
        <v>750</v>
      </c>
      <c r="F81" s="132">
        <f>150000+250000</f>
        <v>400000</v>
      </c>
      <c r="G81" s="132">
        <v>0</v>
      </c>
      <c r="H81" s="132">
        <f t="shared" si="4"/>
        <v>400000</v>
      </c>
      <c r="I81" s="137" t="s">
        <v>751</v>
      </c>
      <c r="J81" t="s">
        <v>624</v>
      </c>
      <c r="K81">
        <v>2024.08</v>
      </c>
    </row>
    <row r="82" spans="1:11" ht="33">
      <c r="A82">
        <v>131</v>
      </c>
      <c r="B82" t="s">
        <v>765</v>
      </c>
      <c r="C82" t="s">
        <v>591</v>
      </c>
      <c r="D82" t="s">
        <v>766</v>
      </c>
      <c r="E82" t="s">
        <v>767</v>
      </c>
      <c r="F82" s="132">
        <v>150000</v>
      </c>
      <c r="G82" s="132">
        <v>0</v>
      </c>
      <c r="H82" s="132">
        <f t="shared" si="4"/>
        <v>150000</v>
      </c>
      <c r="I82" s="137" t="s">
        <v>768</v>
      </c>
      <c r="J82" t="s">
        <v>769</v>
      </c>
      <c r="K82" s="192" t="s">
        <v>770</v>
      </c>
    </row>
    <row r="83" spans="1:11">
      <c r="A83">
        <v>132</v>
      </c>
      <c r="B83" t="s">
        <v>670</v>
      </c>
      <c r="C83" t="s">
        <v>175</v>
      </c>
      <c r="D83" t="s">
        <v>675</v>
      </c>
      <c r="E83" t="s">
        <v>787</v>
      </c>
      <c r="F83" s="132">
        <v>250000</v>
      </c>
      <c r="G83" s="132">
        <f>800000-800000</f>
        <v>0</v>
      </c>
      <c r="H83" s="132">
        <f t="shared" si="4"/>
        <v>250000</v>
      </c>
      <c r="I83" s="137" t="s">
        <v>788</v>
      </c>
      <c r="J83" t="s">
        <v>137</v>
      </c>
      <c r="K83" s="192">
        <v>2024.12</v>
      </c>
    </row>
    <row r="84" spans="1:11">
      <c r="A84">
        <v>133</v>
      </c>
      <c r="B84" t="s">
        <v>797</v>
      </c>
      <c r="C84" t="s">
        <v>204</v>
      </c>
      <c r="D84" t="s">
        <v>802</v>
      </c>
      <c r="E84" t="s">
        <v>796</v>
      </c>
      <c r="F84" s="132">
        <f>295000+45000</f>
        <v>340000</v>
      </c>
      <c r="G84" s="132">
        <v>0</v>
      </c>
      <c r="H84" s="132">
        <f t="shared" si="4"/>
        <v>340000</v>
      </c>
      <c r="I84" s="137" t="s">
        <v>804</v>
      </c>
      <c r="J84" t="s">
        <v>624</v>
      </c>
      <c r="K84">
        <v>2024.12</v>
      </c>
    </row>
    <row r="85" spans="1:11">
      <c r="A85">
        <v>134</v>
      </c>
      <c r="B85" t="s">
        <v>798</v>
      </c>
      <c r="C85" t="s">
        <v>204</v>
      </c>
      <c r="D85" t="s">
        <v>802</v>
      </c>
      <c r="E85" t="s">
        <v>796</v>
      </c>
      <c r="F85" s="132">
        <v>24000</v>
      </c>
      <c r="G85" s="132">
        <v>0</v>
      </c>
      <c r="H85" s="132">
        <f t="shared" si="4"/>
        <v>24000</v>
      </c>
      <c r="I85" s="137" t="s">
        <v>804</v>
      </c>
      <c r="J85" t="s">
        <v>624</v>
      </c>
      <c r="K85">
        <v>2024.12</v>
      </c>
    </row>
    <row r="86" spans="1:11">
      <c r="A86">
        <v>135</v>
      </c>
      <c r="B86" t="s">
        <v>799</v>
      </c>
      <c r="C86" t="s">
        <v>204</v>
      </c>
      <c r="D86" t="s">
        <v>802</v>
      </c>
      <c r="E86" t="s">
        <v>796</v>
      </c>
      <c r="F86" s="132">
        <v>48000</v>
      </c>
      <c r="G86" s="132">
        <v>0</v>
      </c>
      <c r="H86" s="132">
        <f t="shared" si="4"/>
        <v>48000</v>
      </c>
      <c r="I86" s="137" t="s">
        <v>804</v>
      </c>
      <c r="J86" t="s">
        <v>624</v>
      </c>
      <c r="K86">
        <v>2024.12</v>
      </c>
    </row>
    <row r="87" spans="1:11">
      <c r="A87">
        <v>136</v>
      </c>
      <c r="B87" t="s">
        <v>800</v>
      </c>
      <c r="C87" t="s">
        <v>204</v>
      </c>
      <c r="D87" t="s">
        <v>802</v>
      </c>
      <c r="E87" t="s">
        <v>796</v>
      </c>
      <c r="F87" s="132">
        <v>48000</v>
      </c>
      <c r="G87" s="132">
        <v>0</v>
      </c>
      <c r="H87" s="132">
        <f t="shared" si="4"/>
        <v>48000</v>
      </c>
      <c r="I87" s="137" t="s">
        <v>804</v>
      </c>
      <c r="J87" t="s">
        <v>624</v>
      </c>
      <c r="K87">
        <v>2024.12</v>
      </c>
    </row>
    <row r="88" spans="1:11">
      <c r="A88">
        <v>137</v>
      </c>
      <c r="B88" t="s">
        <v>801</v>
      </c>
      <c r="C88" t="s">
        <v>204</v>
      </c>
      <c r="D88" t="s">
        <v>803</v>
      </c>
      <c r="E88" t="s">
        <v>795</v>
      </c>
      <c r="F88" s="132">
        <v>1227270</v>
      </c>
      <c r="G88" s="132">
        <v>0</v>
      </c>
      <c r="H88" s="132">
        <f t="shared" si="4"/>
        <v>1227270</v>
      </c>
      <c r="I88" s="137" t="s">
        <v>805</v>
      </c>
      <c r="J88" t="s">
        <v>624</v>
      </c>
      <c r="K88">
        <v>2024.12</v>
      </c>
    </row>
    <row r="89" spans="1:11">
      <c r="A89">
        <v>138</v>
      </c>
      <c r="B89" t="s">
        <v>708</v>
      </c>
      <c r="C89" t="s">
        <v>204</v>
      </c>
      <c r="D89" t="s">
        <v>706</v>
      </c>
      <c r="E89" t="s">
        <v>707</v>
      </c>
      <c r="F89" s="132">
        <v>7100000</v>
      </c>
      <c r="G89" s="132">
        <v>6800000</v>
      </c>
      <c r="H89" s="132">
        <f t="shared" si="4"/>
        <v>300000</v>
      </c>
      <c r="I89" s="137" t="s">
        <v>805</v>
      </c>
      <c r="J89" t="s">
        <v>172</v>
      </c>
      <c r="K89">
        <v>2025.01</v>
      </c>
    </row>
    <row r="90" spans="1:11">
      <c r="A90">
        <v>139</v>
      </c>
      <c r="B90" t="s">
        <v>745</v>
      </c>
      <c r="C90" t="s">
        <v>175</v>
      </c>
      <c r="D90" t="s">
        <v>808</v>
      </c>
      <c r="E90" t="s">
        <v>809</v>
      </c>
      <c r="F90" s="132">
        <f>350000+100000</f>
        <v>450000</v>
      </c>
      <c r="G90" s="132">
        <v>0</v>
      </c>
      <c r="H90" s="132">
        <f t="shared" si="4"/>
        <v>450000</v>
      </c>
      <c r="I90" s="137" t="s">
        <v>805</v>
      </c>
      <c r="J90" t="s">
        <v>624</v>
      </c>
      <c r="K90">
        <v>2024.12</v>
      </c>
    </row>
    <row r="91" spans="1:11">
      <c r="A91">
        <v>140</v>
      </c>
      <c r="B91" t="s">
        <v>811</v>
      </c>
      <c r="C91" t="s">
        <v>205</v>
      </c>
      <c r="D91" t="s">
        <v>587</v>
      </c>
      <c r="E91" t="s">
        <v>812</v>
      </c>
      <c r="F91" s="132">
        <f>1500000+300000+1200000</f>
        <v>3000000</v>
      </c>
      <c r="G91" s="132">
        <v>0</v>
      </c>
      <c r="H91" s="132">
        <f t="shared" si="4"/>
        <v>3000000</v>
      </c>
      <c r="I91" s="137" t="s">
        <v>813</v>
      </c>
      <c r="J91" t="s">
        <v>624</v>
      </c>
      <c r="K91">
        <v>2025.03</v>
      </c>
    </row>
    <row r="92" spans="1:11">
      <c r="A92">
        <v>141</v>
      </c>
      <c r="B92" t="s">
        <v>268</v>
      </c>
      <c r="C92" t="s">
        <v>205</v>
      </c>
      <c r="D92" t="s">
        <v>814</v>
      </c>
      <c r="E92" t="s">
        <v>815</v>
      </c>
      <c r="F92" s="132">
        <v>350000</v>
      </c>
      <c r="G92" s="132">
        <v>0</v>
      </c>
      <c r="H92" s="132">
        <f t="shared" si="4"/>
        <v>350000</v>
      </c>
      <c r="I92" s="137" t="s">
        <v>816</v>
      </c>
      <c r="J92" t="s">
        <v>624</v>
      </c>
      <c r="K92">
        <v>2025.02</v>
      </c>
    </row>
    <row r="93" spans="1:11">
      <c r="A93">
        <v>142</v>
      </c>
      <c r="B93" t="s">
        <v>730</v>
      </c>
      <c r="C93" t="s">
        <v>205</v>
      </c>
      <c r="D93" t="s">
        <v>731</v>
      </c>
      <c r="E93" t="s">
        <v>732</v>
      </c>
      <c r="F93" s="132">
        <v>1300000</v>
      </c>
      <c r="G93" s="132">
        <v>0</v>
      </c>
      <c r="H93" s="132">
        <f t="shared" si="4"/>
        <v>1300000</v>
      </c>
      <c r="I93" s="137" t="s">
        <v>820</v>
      </c>
      <c r="J93" t="s">
        <v>137</v>
      </c>
      <c r="K93">
        <v>2025.04</v>
      </c>
    </row>
    <row r="94" spans="1:11">
      <c r="A94">
        <v>143</v>
      </c>
      <c r="B94" t="s">
        <v>473</v>
      </c>
      <c r="C94" t="s">
        <v>737</v>
      </c>
      <c r="D94" t="s">
        <v>843</v>
      </c>
      <c r="E94" t="s">
        <v>844</v>
      </c>
      <c r="F94" s="132">
        <v>300000</v>
      </c>
      <c r="G94" s="132">
        <v>0</v>
      </c>
      <c r="H94" s="132">
        <f t="shared" si="4"/>
        <v>300000</v>
      </c>
      <c r="I94" s="137" t="s">
        <v>845</v>
      </c>
      <c r="J94" t="s">
        <v>624</v>
      </c>
      <c r="K94">
        <v>2025.05</v>
      </c>
    </row>
    <row r="95" spans="1:11">
      <c r="A95">
        <v>144</v>
      </c>
      <c r="B95" t="s">
        <v>850</v>
      </c>
      <c r="C95" t="s">
        <v>737</v>
      </c>
      <c r="D95" t="s">
        <v>851</v>
      </c>
      <c r="E95" t="s">
        <v>852</v>
      </c>
      <c r="F95" s="132">
        <v>1600000</v>
      </c>
      <c r="G95" s="132">
        <v>0</v>
      </c>
      <c r="H95" s="132">
        <f t="shared" ref="H95" si="5">F95-G95</f>
        <v>1600000</v>
      </c>
      <c r="I95" s="137" t="s">
        <v>853</v>
      </c>
      <c r="J95" t="s">
        <v>624</v>
      </c>
      <c r="K95">
        <v>2025.06</v>
      </c>
    </row>
    <row r="96" spans="1:11">
      <c r="A96">
        <v>145</v>
      </c>
      <c r="B96" t="s">
        <v>874</v>
      </c>
      <c r="C96" t="s">
        <v>233</v>
      </c>
      <c r="D96" t="s">
        <v>875</v>
      </c>
      <c r="E96" t="s">
        <v>876</v>
      </c>
      <c r="F96" s="132">
        <v>1000000</v>
      </c>
      <c r="G96" s="132">
        <v>0</v>
      </c>
      <c r="H96" s="132">
        <f t="shared" si="4"/>
        <v>1000000</v>
      </c>
      <c r="I96" s="137" t="s">
        <v>877</v>
      </c>
      <c r="J96" t="s">
        <v>624</v>
      </c>
      <c r="K96">
        <v>2025.08</v>
      </c>
    </row>
    <row r="97" spans="1:11">
      <c r="A97">
        <v>146</v>
      </c>
      <c r="B97" t="s">
        <v>730</v>
      </c>
      <c r="C97" t="s">
        <v>233</v>
      </c>
      <c r="D97" t="s">
        <v>744</v>
      </c>
      <c r="E97" t="s">
        <v>888</v>
      </c>
      <c r="F97" s="132">
        <v>800000</v>
      </c>
      <c r="G97" s="132">
        <v>0</v>
      </c>
      <c r="H97" s="132">
        <f t="shared" si="4"/>
        <v>800000</v>
      </c>
      <c r="I97" s="137" t="s">
        <v>889</v>
      </c>
      <c r="J97" t="s">
        <v>137</v>
      </c>
      <c r="K97">
        <v>2025.07</v>
      </c>
    </row>
    <row r="98" spans="1:11" ht="33">
      <c r="A98">
        <v>147</v>
      </c>
      <c r="B98" t="s">
        <v>868</v>
      </c>
      <c r="C98" t="s">
        <v>591</v>
      </c>
      <c r="D98" t="s">
        <v>904</v>
      </c>
      <c r="E98" t="s">
        <v>903</v>
      </c>
      <c r="F98" s="132">
        <v>200000</v>
      </c>
      <c r="G98" s="132">
        <v>0</v>
      </c>
      <c r="H98" s="132">
        <f t="shared" ref="H98:H104" si="6">F98-G98</f>
        <v>200000</v>
      </c>
      <c r="I98" s="137" t="s">
        <v>905</v>
      </c>
      <c r="J98" t="s">
        <v>137</v>
      </c>
      <c r="K98">
        <v>2025.11</v>
      </c>
    </row>
    <row r="99" spans="1:11">
      <c r="A99">
        <v>148</v>
      </c>
      <c r="B99" t="s">
        <v>775</v>
      </c>
      <c r="C99" t="s">
        <v>202</v>
      </c>
      <c r="D99" t="s">
        <v>776</v>
      </c>
      <c r="E99" t="s">
        <v>777</v>
      </c>
      <c r="F99" s="132">
        <f>200000</f>
        <v>200000</v>
      </c>
      <c r="G99" s="132">
        <v>0</v>
      </c>
      <c r="H99" s="132">
        <f t="shared" si="6"/>
        <v>200000</v>
      </c>
      <c r="I99" s="137" t="s">
        <v>916</v>
      </c>
      <c r="J99" t="s">
        <v>185</v>
      </c>
      <c r="K99">
        <v>2025.11</v>
      </c>
    </row>
    <row r="100" spans="1:11">
      <c r="A100">
        <v>149</v>
      </c>
      <c r="B100" t="s">
        <v>925</v>
      </c>
      <c r="C100" t="s">
        <v>202</v>
      </c>
      <c r="D100" t="s">
        <v>926</v>
      </c>
      <c r="E100" t="s">
        <v>927</v>
      </c>
      <c r="F100" s="132">
        <v>400000</v>
      </c>
      <c r="G100" s="132">
        <v>0</v>
      </c>
      <c r="H100" s="132">
        <f t="shared" si="6"/>
        <v>400000</v>
      </c>
      <c r="I100" s="137" t="s">
        <v>928</v>
      </c>
      <c r="J100" t="s">
        <v>137</v>
      </c>
      <c r="K100">
        <v>2025.11</v>
      </c>
    </row>
    <row r="101" spans="1:11" ht="33">
      <c r="A101">
        <v>150</v>
      </c>
      <c r="B101" t="s">
        <v>932</v>
      </c>
      <c r="C101" t="s">
        <v>202</v>
      </c>
      <c r="D101" t="s">
        <v>385</v>
      </c>
      <c r="E101" t="s">
        <v>778</v>
      </c>
      <c r="F101" s="132">
        <v>16969100</v>
      </c>
      <c r="G101" s="132">
        <v>13291500</v>
      </c>
      <c r="H101" s="132">
        <f t="shared" si="6"/>
        <v>3677600</v>
      </c>
      <c r="I101" s="137" t="s">
        <v>933</v>
      </c>
      <c r="J101" t="s">
        <v>934</v>
      </c>
      <c r="K101">
        <v>2025.12</v>
      </c>
    </row>
    <row r="102" spans="1:11">
      <c r="A102">
        <v>151</v>
      </c>
      <c r="B102" t="s">
        <v>724</v>
      </c>
      <c r="C102" t="s">
        <v>202</v>
      </c>
      <c r="D102" t="s">
        <v>685</v>
      </c>
      <c r="E102" t="s">
        <v>722</v>
      </c>
      <c r="F102" s="132">
        <v>4800000</v>
      </c>
      <c r="G102" s="132">
        <v>0</v>
      </c>
      <c r="H102" s="132">
        <f t="shared" si="6"/>
        <v>4800000</v>
      </c>
      <c r="I102" s="137" t="s">
        <v>936</v>
      </c>
      <c r="J102" t="s">
        <v>934</v>
      </c>
      <c r="K102">
        <v>2025.12</v>
      </c>
    </row>
    <row r="103" spans="1:11">
      <c r="A103">
        <v>152</v>
      </c>
      <c r="B103" t="s">
        <v>724</v>
      </c>
      <c r="C103" t="s">
        <v>202</v>
      </c>
      <c r="D103" t="s">
        <v>744</v>
      </c>
      <c r="E103" t="s">
        <v>760</v>
      </c>
      <c r="F103" s="132">
        <v>5880000</v>
      </c>
      <c r="G103" s="132">
        <v>0</v>
      </c>
      <c r="H103" s="132">
        <f t="shared" si="6"/>
        <v>5880000</v>
      </c>
      <c r="I103" s="214" t="s">
        <v>937</v>
      </c>
      <c r="J103" t="s">
        <v>934</v>
      </c>
      <c r="K103">
        <v>2025.12</v>
      </c>
    </row>
    <row r="104" spans="1:11">
      <c r="A104">
        <v>153</v>
      </c>
      <c r="B104" t="s">
        <v>634</v>
      </c>
      <c r="C104" t="s">
        <v>202</v>
      </c>
      <c r="D104" t="s">
        <v>621</v>
      </c>
      <c r="E104" t="s">
        <v>778</v>
      </c>
      <c r="F104" s="132">
        <v>2740000</v>
      </c>
      <c r="G104" s="132">
        <v>750000</v>
      </c>
      <c r="H104" s="132">
        <f t="shared" si="6"/>
        <v>1990000</v>
      </c>
      <c r="I104" s="214" t="s">
        <v>937</v>
      </c>
      <c r="J104" t="s">
        <v>934</v>
      </c>
      <c r="K104">
        <v>2025.12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8"/>
  <sheetViews>
    <sheetView workbookViewId="0">
      <selection activeCell="E34" sqref="E34"/>
    </sheetView>
  </sheetViews>
  <sheetFormatPr defaultColWidth="38.375" defaultRowHeight="16.5"/>
  <cols>
    <col min="1" max="1" width="12.5" style="34" customWidth="1"/>
    <col min="2" max="2" width="11.375" style="34" customWidth="1"/>
    <col min="3" max="3" width="12.5" style="34" customWidth="1"/>
    <col min="4" max="4" width="22.25" style="34" customWidth="1"/>
    <col min="5" max="5" width="32.375" style="34" bestFit="1" customWidth="1"/>
    <col min="6" max="6" width="12" style="34" customWidth="1"/>
    <col min="7" max="7" width="5.25" style="34" customWidth="1"/>
    <col min="8" max="8" width="11.625" style="34" customWidth="1"/>
    <col min="9" max="12" width="10.875" style="34" customWidth="1"/>
    <col min="13" max="13" width="9" style="34" customWidth="1"/>
    <col min="14" max="14" width="17.875" style="34" bestFit="1" customWidth="1"/>
    <col min="15" max="16384" width="38.375" style="34"/>
  </cols>
  <sheetData>
    <row r="1" spans="1:14">
      <c r="A1" s="62" t="s">
        <v>188</v>
      </c>
      <c r="B1" s="62" t="s">
        <v>189</v>
      </c>
      <c r="C1" s="62" t="s">
        <v>190</v>
      </c>
      <c r="D1" s="62" t="s">
        <v>169</v>
      </c>
      <c r="E1" s="62" t="s">
        <v>168</v>
      </c>
      <c r="F1" s="62" t="s">
        <v>187</v>
      </c>
      <c r="G1" s="62" t="s">
        <v>158</v>
      </c>
      <c r="H1" s="62" t="s">
        <v>167</v>
      </c>
      <c r="I1" s="62" t="s">
        <v>132</v>
      </c>
      <c r="J1" s="62" t="s">
        <v>191</v>
      </c>
      <c r="K1" s="62" t="s">
        <v>192</v>
      </c>
      <c r="L1" s="62" t="s">
        <v>177</v>
      </c>
      <c r="M1" s="62" t="s">
        <v>166</v>
      </c>
      <c r="N1" s="62" t="s">
        <v>133</v>
      </c>
    </row>
    <row r="2" spans="1:14">
      <c r="A2" s="77"/>
      <c r="B2" s="78"/>
      <c r="C2" s="79" t="s">
        <v>206</v>
      </c>
      <c r="D2" s="78" t="s">
        <v>207</v>
      </c>
      <c r="E2" s="78" t="s">
        <v>208</v>
      </c>
      <c r="F2" s="78"/>
      <c r="G2" s="74"/>
      <c r="H2" s="74">
        <v>1000000</v>
      </c>
      <c r="I2" s="74">
        <v>1000000</v>
      </c>
      <c r="J2" s="74">
        <f>I2-F2</f>
        <v>1000000</v>
      </c>
      <c r="K2" s="80">
        <f>1-(F2/I2)</f>
        <v>1</v>
      </c>
      <c r="L2" s="77">
        <v>43656</v>
      </c>
      <c r="M2" s="81" t="s">
        <v>199</v>
      </c>
      <c r="N2" s="82" t="s">
        <v>221</v>
      </c>
    </row>
    <row r="3" spans="1:14">
      <c r="A3" s="78"/>
      <c r="B3" s="78"/>
      <c r="C3" s="79" t="s">
        <v>206</v>
      </c>
      <c r="D3" s="82" t="s">
        <v>209</v>
      </c>
      <c r="E3" s="82" t="s">
        <v>210</v>
      </c>
      <c r="F3" s="75"/>
      <c r="G3" s="82"/>
      <c r="H3" s="75">
        <v>400000</v>
      </c>
      <c r="I3" s="75">
        <v>400000</v>
      </c>
      <c r="J3" s="74">
        <f>I3-F3</f>
        <v>400000</v>
      </c>
      <c r="K3" s="80">
        <f>1-(F3/I3)</f>
        <v>1</v>
      </c>
      <c r="L3" s="77"/>
      <c r="M3" s="81" t="s">
        <v>199</v>
      </c>
      <c r="N3" s="91" t="s">
        <v>222</v>
      </c>
    </row>
    <row r="4" spans="1:14">
      <c r="A4" s="83"/>
      <c r="B4" s="83"/>
      <c r="C4" s="84" t="s">
        <v>206</v>
      </c>
      <c r="D4" s="83" t="s">
        <v>211</v>
      </c>
      <c r="E4" s="83" t="s">
        <v>212</v>
      </c>
      <c r="F4" s="76"/>
      <c r="G4" s="76"/>
      <c r="H4" s="75">
        <v>400000</v>
      </c>
      <c r="I4" s="75">
        <v>400000</v>
      </c>
      <c r="J4" s="76">
        <f>I4-F4</f>
        <v>400000</v>
      </c>
      <c r="K4" s="85">
        <f>1-(F4/I4)</f>
        <v>1</v>
      </c>
      <c r="L4" s="86">
        <v>43656</v>
      </c>
      <c r="M4" s="87" t="s">
        <v>199</v>
      </c>
      <c r="N4" s="82" t="s">
        <v>221</v>
      </c>
    </row>
    <row r="5" spans="1:14">
      <c r="A5" s="88"/>
      <c r="B5" s="89"/>
      <c r="C5" s="84" t="s">
        <v>206</v>
      </c>
      <c r="D5" s="83" t="s">
        <v>216</v>
      </c>
      <c r="E5" s="83" t="s">
        <v>215</v>
      </c>
      <c r="F5" s="76">
        <v>2208000</v>
      </c>
      <c r="G5" s="88"/>
      <c r="H5" s="76">
        <v>2324000</v>
      </c>
      <c r="I5" s="76">
        <v>2324000</v>
      </c>
      <c r="J5" s="76">
        <f>I5-F5</f>
        <v>116000</v>
      </c>
      <c r="K5" s="85">
        <f>1-(F5/I5)</f>
        <v>4.9913941480206558E-2</v>
      </c>
      <c r="L5" s="86"/>
      <c r="M5" s="87" t="s">
        <v>199</v>
      </c>
      <c r="N5" s="82" t="s">
        <v>221</v>
      </c>
    </row>
    <row r="8" spans="1:14">
      <c r="H8" s="71">
        <f>SUM(H2:H7)</f>
        <v>4124000</v>
      </c>
      <c r="J8" s="71">
        <f>SUM(J2:J7)</f>
        <v>1916000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F30" sqref="F30"/>
    </sheetView>
  </sheetViews>
  <sheetFormatPr defaultRowHeight="16.5"/>
  <cols>
    <col min="2" max="2" width="21.375" bestFit="1" customWidth="1"/>
    <col min="4" max="4" width="13.625" bestFit="1" customWidth="1"/>
  </cols>
  <sheetData>
    <row r="1" spans="1:7">
      <c r="A1" s="21"/>
      <c r="B1" s="22" t="s">
        <v>142</v>
      </c>
      <c r="C1" s="21"/>
      <c r="D1" s="23">
        <v>162329932</v>
      </c>
    </row>
    <row r="2" spans="1:7">
      <c r="A2" t="s">
        <v>143</v>
      </c>
      <c r="B2" s="20"/>
      <c r="D2" s="29"/>
    </row>
    <row r="3" spans="1:7">
      <c r="A3" s="27">
        <v>1</v>
      </c>
      <c r="B3" s="27" t="s">
        <v>146</v>
      </c>
      <c r="C3" s="27" t="s">
        <v>156</v>
      </c>
      <c r="D3" s="33">
        <v>-33138000</v>
      </c>
      <c r="E3" s="27"/>
      <c r="F3" s="27"/>
      <c r="G3" s="27"/>
    </row>
    <row r="4" spans="1:7">
      <c r="A4" s="27">
        <v>2</v>
      </c>
      <c r="B4" s="27" t="s">
        <v>145</v>
      </c>
      <c r="C4" s="27" t="s">
        <v>156</v>
      </c>
      <c r="D4" s="33">
        <v>-10800000</v>
      </c>
      <c r="E4" s="27"/>
      <c r="F4" s="27"/>
      <c r="G4" s="27"/>
    </row>
    <row r="5" spans="1:7">
      <c r="A5" s="27">
        <v>3</v>
      </c>
      <c r="B5" s="27" t="s">
        <v>153</v>
      </c>
      <c r="C5" s="27" t="s">
        <v>154</v>
      </c>
      <c r="D5" s="32">
        <v>8450000</v>
      </c>
      <c r="E5" s="27"/>
      <c r="F5" s="27"/>
      <c r="G5" s="27"/>
    </row>
    <row r="6" spans="1:7">
      <c r="A6" s="27">
        <v>4</v>
      </c>
      <c r="B6" s="27" t="s">
        <v>155</v>
      </c>
      <c r="C6" s="27" t="s">
        <v>154</v>
      </c>
      <c r="D6" s="32">
        <v>24133320</v>
      </c>
      <c r="E6" s="27"/>
      <c r="F6" s="27"/>
      <c r="G6" s="27"/>
    </row>
    <row r="7" spans="1:7">
      <c r="A7" s="27">
        <v>5</v>
      </c>
      <c r="B7" s="27" t="s">
        <v>148</v>
      </c>
      <c r="C7" s="27" t="s">
        <v>150</v>
      </c>
      <c r="D7" s="32">
        <v>100000</v>
      </c>
      <c r="E7" s="27"/>
      <c r="F7" s="27"/>
      <c r="G7" s="27"/>
    </row>
    <row r="8" spans="1:7">
      <c r="A8" s="27">
        <v>6</v>
      </c>
      <c r="B8" s="27" t="s">
        <v>152</v>
      </c>
      <c r="C8" s="27" t="s">
        <v>154</v>
      </c>
      <c r="D8" s="32">
        <v>425000</v>
      </c>
      <c r="E8" s="27" t="s">
        <v>151</v>
      </c>
      <c r="F8" s="27"/>
      <c r="G8" s="27"/>
    </row>
    <row r="9" spans="1:7">
      <c r="A9" s="27">
        <v>7</v>
      </c>
      <c r="B9" s="27"/>
      <c r="C9" s="27"/>
      <c r="D9" s="32"/>
      <c r="E9" s="27"/>
      <c r="F9" s="27"/>
      <c r="G9" s="27"/>
    </row>
    <row r="10" spans="1:7">
      <c r="A10" s="27">
        <v>8</v>
      </c>
      <c r="B10" s="27"/>
      <c r="C10" s="27"/>
      <c r="D10" s="32"/>
      <c r="E10" s="27"/>
      <c r="F10" s="27"/>
      <c r="G10" s="27"/>
    </row>
    <row r="11" spans="1:7">
      <c r="A11" s="27">
        <v>9</v>
      </c>
      <c r="B11" s="27"/>
      <c r="C11" s="27"/>
      <c r="D11" s="32"/>
      <c r="E11" s="27"/>
      <c r="F11" s="27"/>
      <c r="G11" s="27"/>
    </row>
    <row r="12" spans="1:7" ht="17.25" thickBot="1">
      <c r="A12" s="28"/>
      <c r="B12" s="28"/>
      <c r="C12" s="28"/>
      <c r="D12" s="31"/>
    </row>
    <row r="13" spans="1:7" ht="17.25" thickTop="1">
      <c r="D13" s="33">
        <f>SUM(D3:D12)</f>
        <v>-10829680</v>
      </c>
    </row>
    <row r="15" spans="1:7">
      <c r="A15" s="24"/>
      <c r="B15" s="25" t="s">
        <v>144</v>
      </c>
      <c r="C15" s="24"/>
      <c r="D15" s="26">
        <f>D1+D13</f>
        <v>151500252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selection activeCell="I33" sqref="I33"/>
    </sheetView>
  </sheetViews>
  <sheetFormatPr defaultRowHeight="16.5"/>
  <cols>
    <col min="2" max="2" width="21.375" bestFit="1" customWidth="1"/>
    <col min="4" max="4" width="13.625" bestFit="1" customWidth="1"/>
  </cols>
  <sheetData>
    <row r="1" spans="1:7">
      <c r="A1" s="21"/>
      <c r="B1" s="22" t="s">
        <v>142</v>
      </c>
      <c r="C1" s="21"/>
      <c r="D1" s="23">
        <v>162329932</v>
      </c>
    </row>
    <row r="2" spans="1:7">
      <c r="A2" t="s">
        <v>143</v>
      </c>
      <c r="B2" s="20"/>
      <c r="D2" s="29"/>
    </row>
    <row r="3" spans="1:7">
      <c r="A3" s="27">
        <v>1</v>
      </c>
      <c r="B3" s="27" t="s">
        <v>146</v>
      </c>
      <c r="C3" s="27" t="s">
        <v>156</v>
      </c>
      <c r="D3" s="33">
        <v>-33138000</v>
      </c>
      <c r="E3" s="27"/>
      <c r="F3" s="27"/>
      <c r="G3" s="27"/>
    </row>
    <row r="4" spans="1:7">
      <c r="A4" s="27">
        <v>2</v>
      </c>
      <c r="B4" s="27" t="s">
        <v>145</v>
      </c>
      <c r="C4" s="27" t="s">
        <v>156</v>
      </c>
      <c r="D4" s="33">
        <v>-10800000</v>
      </c>
      <c r="E4" s="27"/>
      <c r="F4" s="27"/>
      <c r="G4" s="27"/>
    </row>
    <row r="5" spans="1:7">
      <c r="A5" s="27">
        <v>3</v>
      </c>
      <c r="B5" s="27" t="s">
        <v>153</v>
      </c>
      <c r="C5" s="27" t="s">
        <v>154</v>
      </c>
      <c r="D5" s="32">
        <v>8450000</v>
      </c>
      <c r="E5" s="27"/>
      <c r="F5" s="27"/>
      <c r="G5" s="27"/>
    </row>
    <row r="6" spans="1:7">
      <c r="A6" s="27">
        <v>4</v>
      </c>
      <c r="B6" s="27" t="s">
        <v>155</v>
      </c>
      <c r="C6" s="27" t="s">
        <v>157</v>
      </c>
      <c r="D6" s="32">
        <v>24133320</v>
      </c>
      <c r="E6" s="27"/>
      <c r="F6" s="27"/>
      <c r="G6" s="27"/>
    </row>
    <row r="7" spans="1:7">
      <c r="A7" s="27">
        <v>5</v>
      </c>
      <c r="B7" s="27" t="s">
        <v>149</v>
      </c>
      <c r="C7" s="27" t="s">
        <v>150</v>
      </c>
      <c r="D7" s="32">
        <v>100000</v>
      </c>
      <c r="E7" s="27"/>
      <c r="F7" s="27"/>
      <c r="G7" s="27"/>
    </row>
    <row r="8" spans="1:7">
      <c r="A8" s="27">
        <v>6</v>
      </c>
      <c r="B8" s="27" t="s">
        <v>152</v>
      </c>
      <c r="C8" s="27" t="s">
        <v>157</v>
      </c>
      <c r="D8" s="32">
        <v>425000</v>
      </c>
      <c r="E8" s="27" t="s">
        <v>151</v>
      </c>
      <c r="F8" s="27"/>
      <c r="G8" s="27"/>
    </row>
    <row r="9" spans="1:7">
      <c r="A9" s="27">
        <v>7</v>
      </c>
      <c r="B9" s="27"/>
      <c r="C9" s="27"/>
      <c r="D9" s="32"/>
      <c r="E9" s="27"/>
      <c r="F9" s="27"/>
      <c r="G9" s="27"/>
    </row>
    <row r="10" spans="1:7">
      <c r="A10" s="27">
        <v>8</v>
      </c>
      <c r="B10" s="27"/>
      <c r="C10" s="27"/>
      <c r="D10" s="32"/>
      <c r="E10" s="27"/>
      <c r="F10" s="27"/>
      <c r="G10" s="27"/>
    </row>
    <row r="11" spans="1:7">
      <c r="A11" s="27">
        <v>9</v>
      </c>
      <c r="B11" s="27"/>
      <c r="C11" s="27"/>
      <c r="D11" s="32"/>
      <c r="E11" s="27"/>
      <c r="F11" s="27"/>
      <c r="G11" s="27"/>
    </row>
    <row r="12" spans="1:7" ht="17.25" thickBot="1">
      <c r="A12" s="28"/>
      <c r="B12" s="28"/>
      <c r="C12" s="28"/>
      <c r="D12" s="31"/>
    </row>
    <row r="13" spans="1:7" ht="17.25" thickTop="1">
      <c r="D13" s="33">
        <f>SUM(D3:D12)</f>
        <v>-10829680</v>
      </c>
    </row>
    <row r="15" spans="1:7">
      <c r="A15" s="24"/>
      <c r="B15" s="25" t="s">
        <v>144</v>
      </c>
      <c r="C15" s="24"/>
      <c r="D15" s="26">
        <f>D1+D13</f>
        <v>151500252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"/>
  <sheetViews>
    <sheetView workbookViewId="0">
      <selection activeCell="C11" sqref="C11"/>
    </sheetView>
  </sheetViews>
  <sheetFormatPr defaultRowHeight="20.100000000000001" customHeight="1"/>
  <cols>
    <col min="1" max="1" width="23.875" style="3" customWidth="1"/>
    <col min="2" max="2" width="23" style="3" customWidth="1"/>
    <col min="3" max="3" width="23.875" style="3" customWidth="1"/>
    <col min="4" max="4" width="23" style="3" customWidth="1"/>
    <col min="5" max="5" width="23.875" style="3" customWidth="1"/>
    <col min="6" max="6" width="23" style="3" customWidth="1"/>
    <col min="7" max="256" width="9" style="3"/>
    <col min="257" max="257" width="23.875" style="3" customWidth="1"/>
    <col min="258" max="258" width="23" style="3" customWidth="1"/>
    <col min="259" max="259" width="23.875" style="3" customWidth="1"/>
    <col min="260" max="260" width="23" style="3" customWidth="1"/>
    <col min="261" max="261" width="23.875" style="3" customWidth="1"/>
    <col min="262" max="262" width="23" style="3" customWidth="1"/>
    <col min="263" max="512" width="9" style="3"/>
    <col min="513" max="513" width="23.875" style="3" customWidth="1"/>
    <col min="514" max="514" width="23" style="3" customWidth="1"/>
    <col min="515" max="515" width="23.875" style="3" customWidth="1"/>
    <col min="516" max="516" width="23" style="3" customWidth="1"/>
    <col min="517" max="517" width="23.875" style="3" customWidth="1"/>
    <col min="518" max="518" width="23" style="3" customWidth="1"/>
    <col min="519" max="768" width="9" style="3"/>
    <col min="769" max="769" width="23.875" style="3" customWidth="1"/>
    <col min="770" max="770" width="23" style="3" customWidth="1"/>
    <col min="771" max="771" width="23.875" style="3" customWidth="1"/>
    <col min="772" max="772" width="23" style="3" customWidth="1"/>
    <col min="773" max="773" width="23.875" style="3" customWidth="1"/>
    <col min="774" max="774" width="23" style="3" customWidth="1"/>
    <col min="775" max="1024" width="9" style="3"/>
    <col min="1025" max="1025" width="23.875" style="3" customWidth="1"/>
    <col min="1026" max="1026" width="23" style="3" customWidth="1"/>
    <col min="1027" max="1027" width="23.875" style="3" customWidth="1"/>
    <col min="1028" max="1028" width="23" style="3" customWidth="1"/>
    <col min="1029" max="1029" width="23.875" style="3" customWidth="1"/>
    <col min="1030" max="1030" width="23" style="3" customWidth="1"/>
    <col min="1031" max="1280" width="9" style="3"/>
    <col min="1281" max="1281" width="23.875" style="3" customWidth="1"/>
    <col min="1282" max="1282" width="23" style="3" customWidth="1"/>
    <col min="1283" max="1283" width="23.875" style="3" customWidth="1"/>
    <col min="1284" max="1284" width="23" style="3" customWidth="1"/>
    <col min="1285" max="1285" width="23.875" style="3" customWidth="1"/>
    <col min="1286" max="1286" width="23" style="3" customWidth="1"/>
    <col min="1287" max="1536" width="9" style="3"/>
    <col min="1537" max="1537" width="23.875" style="3" customWidth="1"/>
    <col min="1538" max="1538" width="23" style="3" customWidth="1"/>
    <col min="1539" max="1539" width="23.875" style="3" customWidth="1"/>
    <col min="1540" max="1540" width="23" style="3" customWidth="1"/>
    <col min="1541" max="1541" width="23.875" style="3" customWidth="1"/>
    <col min="1542" max="1542" width="23" style="3" customWidth="1"/>
    <col min="1543" max="1792" width="9" style="3"/>
    <col min="1793" max="1793" width="23.875" style="3" customWidth="1"/>
    <col min="1794" max="1794" width="23" style="3" customWidth="1"/>
    <col min="1795" max="1795" width="23.875" style="3" customWidth="1"/>
    <col min="1796" max="1796" width="23" style="3" customWidth="1"/>
    <col min="1797" max="1797" width="23.875" style="3" customWidth="1"/>
    <col min="1798" max="1798" width="23" style="3" customWidth="1"/>
    <col min="1799" max="2048" width="9" style="3"/>
    <col min="2049" max="2049" width="23.875" style="3" customWidth="1"/>
    <col min="2050" max="2050" width="23" style="3" customWidth="1"/>
    <col min="2051" max="2051" width="23.875" style="3" customWidth="1"/>
    <col min="2052" max="2052" width="23" style="3" customWidth="1"/>
    <col min="2053" max="2053" width="23.875" style="3" customWidth="1"/>
    <col min="2054" max="2054" width="23" style="3" customWidth="1"/>
    <col min="2055" max="2304" width="9" style="3"/>
    <col min="2305" max="2305" width="23.875" style="3" customWidth="1"/>
    <col min="2306" max="2306" width="23" style="3" customWidth="1"/>
    <col min="2307" max="2307" width="23.875" style="3" customWidth="1"/>
    <col min="2308" max="2308" width="23" style="3" customWidth="1"/>
    <col min="2309" max="2309" width="23.875" style="3" customWidth="1"/>
    <col min="2310" max="2310" width="23" style="3" customWidth="1"/>
    <col min="2311" max="2560" width="9" style="3"/>
    <col min="2561" max="2561" width="23.875" style="3" customWidth="1"/>
    <col min="2562" max="2562" width="23" style="3" customWidth="1"/>
    <col min="2563" max="2563" width="23.875" style="3" customWidth="1"/>
    <col min="2564" max="2564" width="23" style="3" customWidth="1"/>
    <col min="2565" max="2565" width="23.875" style="3" customWidth="1"/>
    <col min="2566" max="2566" width="23" style="3" customWidth="1"/>
    <col min="2567" max="2816" width="9" style="3"/>
    <col min="2817" max="2817" width="23.875" style="3" customWidth="1"/>
    <col min="2818" max="2818" width="23" style="3" customWidth="1"/>
    <col min="2819" max="2819" width="23.875" style="3" customWidth="1"/>
    <col min="2820" max="2820" width="23" style="3" customWidth="1"/>
    <col min="2821" max="2821" width="23.875" style="3" customWidth="1"/>
    <col min="2822" max="2822" width="23" style="3" customWidth="1"/>
    <col min="2823" max="3072" width="9" style="3"/>
    <col min="3073" max="3073" width="23.875" style="3" customWidth="1"/>
    <col min="3074" max="3074" width="23" style="3" customWidth="1"/>
    <col min="3075" max="3075" width="23.875" style="3" customWidth="1"/>
    <col min="3076" max="3076" width="23" style="3" customWidth="1"/>
    <col min="3077" max="3077" width="23.875" style="3" customWidth="1"/>
    <col min="3078" max="3078" width="23" style="3" customWidth="1"/>
    <col min="3079" max="3328" width="9" style="3"/>
    <col min="3329" max="3329" width="23.875" style="3" customWidth="1"/>
    <col min="3330" max="3330" width="23" style="3" customWidth="1"/>
    <col min="3331" max="3331" width="23.875" style="3" customWidth="1"/>
    <col min="3332" max="3332" width="23" style="3" customWidth="1"/>
    <col min="3333" max="3333" width="23.875" style="3" customWidth="1"/>
    <col min="3334" max="3334" width="23" style="3" customWidth="1"/>
    <col min="3335" max="3584" width="9" style="3"/>
    <col min="3585" max="3585" width="23.875" style="3" customWidth="1"/>
    <col min="3586" max="3586" width="23" style="3" customWidth="1"/>
    <col min="3587" max="3587" width="23.875" style="3" customWidth="1"/>
    <col min="3588" max="3588" width="23" style="3" customWidth="1"/>
    <col min="3589" max="3589" width="23.875" style="3" customWidth="1"/>
    <col min="3590" max="3590" width="23" style="3" customWidth="1"/>
    <col min="3591" max="3840" width="9" style="3"/>
    <col min="3841" max="3841" width="23.875" style="3" customWidth="1"/>
    <col min="3842" max="3842" width="23" style="3" customWidth="1"/>
    <col min="3843" max="3843" width="23.875" style="3" customWidth="1"/>
    <col min="3844" max="3844" width="23" style="3" customWidth="1"/>
    <col min="3845" max="3845" width="23.875" style="3" customWidth="1"/>
    <col min="3846" max="3846" width="23" style="3" customWidth="1"/>
    <col min="3847" max="4096" width="9" style="3"/>
    <col min="4097" max="4097" width="23.875" style="3" customWidth="1"/>
    <col min="4098" max="4098" width="23" style="3" customWidth="1"/>
    <col min="4099" max="4099" width="23.875" style="3" customWidth="1"/>
    <col min="4100" max="4100" width="23" style="3" customWidth="1"/>
    <col min="4101" max="4101" width="23.875" style="3" customWidth="1"/>
    <col min="4102" max="4102" width="23" style="3" customWidth="1"/>
    <col min="4103" max="4352" width="9" style="3"/>
    <col min="4353" max="4353" width="23.875" style="3" customWidth="1"/>
    <col min="4354" max="4354" width="23" style="3" customWidth="1"/>
    <col min="4355" max="4355" width="23.875" style="3" customWidth="1"/>
    <col min="4356" max="4356" width="23" style="3" customWidth="1"/>
    <col min="4357" max="4357" width="23.875" style="3" customWidth="1"/>
    <col min="4358" max="4358" width="23" style="3" customWidth="1"/>
    <col min="4359" max="4608" width="9" style="3"/>
    <col min="4609" max="4609" width="23.875" style="3" customWidth="1"/>
    <col min="4610" max="4610" width="23" style="3" customWidth="1"/>
    <col min="4611" max="4611" width="23.875" style="3" customWidth="1"/>
    <col min="4612" max="4612" width="23" style="3" customWidth="1"/>
    <col min="4613" max="4613" width="23.875" style="3" customWidth="1"/>
    <col min="4614" max="4614" width="23" style="3" customWidth="1"/>
    <col min="4615" max="4864" width="9" style="3"/>
    <col min="4865" max="4865" width="23.875" style="3" customWidth="1"/>
    <col min="4866" max="4866" width="23" style="3" customWidth="1"/>
    <col min="4867" max="4867" width="23.875" style="3" customWidth="1"/>
    <col min="4868" max="4868" width="23" style="3" customWidth="1"/>
    <col min="4869" max="4869" width="23.875" style="3" customWidth="1"/>
    <col min="4870" max="4870" width="23" style="3" customWidth="1"/>
    <col min="4871" max="5120" width="9" style="3"/>
    <col min="5121" max="5121" width="23.875" style="3" customWidth="1"/>
    <col min="5122" max="5122" width="23" style="3" customWidth="1"/>
    <col min="5123" max="5123" width="23.875" style="3" customWidth="1"/>
    <col min="5124" max="5124" width="23" style="3" customWidth="1"/>
    <col min="5125" max="5125" width="23.875" style="3" customWidth="1"/>
    <col min="5126" max="5126" width="23" style="3" customWidth="1"/>
    <col min="5127" max="5376" width="9" style="3"/>
    <col min="5377" max="5377" width="23.875" style="3" customWidth="1"/>
    <col min="5378" max="5378" width="23" style="3" customWidth="1"/>
    <col min="5379" max="5379" width="23.875" style="3" customWidth="1"/>
    <col min="5380" max="5380" width="23" style="3" customWidth="1"/>
    <col min="5381" max="5381" width="23.875" style="3" customWidth="1"/>
    <col min="5382" max="5382" width="23" style="3" customWidth="1"/>
    <col min="5383" max="5632" width="9" style="3"/>
    <col min="5633" max="5633" width="23.875" style="3" customWidth="1"/>
    <col min="5634" max="5634" width="23" style="3" customWidth="1"/>
    <col min="5635" max="5635" width="23.875" style="3" customWidth="1"/>
    <col min="5636" max="5636" width="23" style="3" customWidth="1"/>
    <col min="5637" max="5637" width="23.875" style="3" customWidth="1"/>
    <col min="5638" max="5638" width="23" style="3" customWidth="1"/>
    <col min="5639" max="5888" width="9" style="3"/>
    <col min="5889" max="5889" width="23.875" style="3" customWidth="1"/>
    <col min="5890" max="5890" width="23" style="3" customWidth="1"/>
    <col min="5891" max="5891" width="23.875" style="3" customWidth="1"/>
    <col min="5892" max="5892" width="23" style="3" customWidth="1"/>
    <col min="5893" max="5893" width="23.875" style="3" customWidth="1"/>
    <col min="5894" max="5894" width="23" style="3" customWidth="1"/>
    <col min="5895" max="6144" width="9" style="3"/>
    <col min="6145" max="6145" width="23.875" style="3" customWidth="1"/>
    <col min="6146" max="6146" width="23" style="3" customWidth="1"/>
    <col min="6147" max="6147" width="23.875" style="3" customWidth="1"/>
    <col min="6148" max="6148" width="23" style="3" customWidth="1"/>
    <col min="6149" max="6149" width="23.875" style="3" customWidth="1"/>
    <col min="6150" max="6150" width="23" style="3" customWidth="1"/>
    <col min="6151" max="6400" width="9" style="3"/>
    <col min="6401" max="6401" width="23.875" style="3" customWidth="1"/>
    <col min="6402" max="6402" width="23" style="3" customWidth="1"/>
    <col min="6403" max="6403" width="23.875" style="3" customWidth="1"/>
    <col min="6404" max="6404" width="23" style="3" customWidth="1"/>
    <col min="6405" max="6405" width="23.875" style="3" customWidth="1"/>
    <col min="6406" max="6406" width="23" style="3" customWidth="1"/>
    <col min="6407" max="6656" width="9" style="3"/>
    <col min="6657" max="6657" width="23.875" style="3" customWidth="1"/>
    <col min="6658" max="6658" width="23" style="3" customWidth="1"/>
    <col min="6659" max="6659" width="23.875" style="3" customWidth="1"/>
    <col min="6660" max="6660" width="23" style="3" customWidth="1"/>
    <col min="6661" max="6661" width="23.875" style="3" customWidth="1"/>
    <col min="6662" max="6662" width="23" style="3" customWidth="1"/>
    <col min="6663" max="6912" width="9" style="3"/>
    <col min="6913" max="6913" width="23.875" style="3" customWidth="1"/>
    <col min="6914" max="6914" width="23" style="3" customWidth="1"/>
    <col min="6915" max="6915" width="23.875" style="3" customWidth="1"/>
    <col min="6916" max="6916" width="23" style="3" customWidth="1"/>
    <col min="6917" max="6917" width="23.875" style="3" customWidth="1"/>
    <col min="6918" max="6918" width="23" style="3" customWidth="1"/>
    <col min="6919" max="7168" width="9" style="3"/>
    <col min="7169" max="7169" width="23.875" style="3" customWidth="1"/>
    <col min="7170" max="7170" width="23" style="3" customWidth="1"/>
    <col min="7171" max="7171" width="23.875" style="3" customWidth="1"/>
    <col min="7172" max="7172" width="23" style="3" customWidth="1"/>
    <col min="7173" max="7173" width="23.875" style="3" customWidth="1"/>
    <col min="7174" max="7174" width="23" style="3" customWidth="1"/>
    <col min="7175" max="7424" width="9" style="3"/>
    <col min="7425" max="7425" width="23.875" style="3" customWidth="1"/>
    <col min="7426" max="7426" width="23" style="3" customWidth="1"/>
    <col min="7427" max="7427" width="23.875" style="3" customWidth="1"/>
    <col min="7428" max="7428" width="23" style="3" customWidth="1"/>
    <col min="7429" max="7429" width="23.875" style="3" customWidth="1"/>
    <col min="7430" max="7430" width="23" style="3" customWidth="1"/>
    <col min="7431" max="7680" width="9" style="3"/>
    <col min="7681" max="7681" width="23.875" style="3" customWidth="1"/>
    <col min="7682" max="7682" width="23" style="3" customWidth="1"/>
    <col min="7683" max="7683" width="23.875" style="3" customWidth="1"/>
    <col min="7684" max="7684" width="23" style="3" customWidth="1"/>
    <col min="7685" max="7685" width="23.875" style="3" customWidth="1"/>
    <col min="7686" max="7686" width="23" style="3" customWidth="1"/>
    <col min="7687" max="7936" width="9" style="3"/>
    <col min="7937" max="7937" width="23.875" style="3" customWidth="1"/>
    <col min="7938" max="7938" width="23" style="3" customWidth="1"/>
    <col min="7939" max="7939" width="23.875" style="3" customWidth="1"/>
    <col min="7940" max="7940" width="23" style="3" customWidth="1"/>
    <col min="7941" max="7941" width="23.875" style="3" customWidth="1"/>
    <col min="7942" max="7942" width="23" style="3" customWidth="1"/>
    <col min="7943" max="8192" width="9" style="3"/>
    <col min="8193" max="8193" width="23.875" style="3" customWidth="1"/>
    <col min="8194" max="8194" width="23" style="3" customWidth="1"/>
    <col min="8195" max="8195" width="23.875" style="3" customWidth="1"/>
    <col min="8196" max="8196" width="23" style="3" customWidth="1"/>
    <col min="8197" max="8197" width="23.875" style="3" customWidth="1"/>
    <col min="8198" max="8198" width="23" style="3" customWidth="1"/>
    <col min="8199" max="8448" width="9" style="3"/>
    <col min="8449" max="8449" width="23.875" style="3" customWidth="1"/>
    <col min="8450" max="8450" width="23" style="3" customWidth="1"/>
    <col min="8451" max="8451" width="23.875" style="3" customWidth="1"/>
    <col min="8452" max="8452" width="23" style="3" customWidth="1"/>
    <col min="8453" max="8453" width="23.875" style="3" customWidth="1"/>
    <col min="8454" max="8454" width="23" style="3" customWidth="1"/>
    <col min="8455" max="8704" width="9" style="3"/>
    <col min="8705" max="8705" width="23.875" style="3" customWidth="1"/>
    <col min="8706" max="8706" width="23" style="3" customWidth="1"/>
    <col min="8707" max="8707" width="23.875" style="3" customWidth="1"/>
    <col min="8708" max="8708" width="23" style="3" customWidth="1"/>
    <col min="8709" max="8709" width="23.875" style="3" customWidth="1"/>
    <col min="8710" max="8710" width="23" style="3" customWidth="1"/>
    <col min="8711" max="8960" width="9" style="3"/>
    <col min="8961" max="8961" width="23.875" style="3" customWidth="1"/>
    <col min="8962" max="8962" width="23" style="3" customWidth="1"/>
    <col min="8963" max="8963" width="23.875" style="3" customWidth="1"/>
    <col min="8964" max="8964" width="23" style="3" customWidth="1"/>
    <col min="8965" max="8965" width="23.875" style="3" customWidth="1"/>
    <col min="8966" max="8966" width="23" style="3" customWidth="1"/>
    <col min="8967" max="9216" width="9" style="3"/>
    <col min="9217" max="9217" width="23.875" style="3" customWidth="1"/>
    <col min="9218" max="9218" width="23" style="3" customWidth="1"/>
    <col min="9219" max="9219" width="23.875" style="3" customWidth="1"/>
    <col min="9220" max="9220" width="23" style="3" customWidth="1"/>
    <col min="9221" max="9221" width="23.875" style="3" customWidth="1"/>
    <col min="9222" max="9222" width="23" style="3" customWidth="1"/>
    <col min="9223" max="9472" width="9" style="3"/>
    <col min="9473" max="9473" width="23.875" style="3" customWidth="1"/>
    <col min="9474" max="9474" width="23" style="3" customWidth="1"/>
    <col min="9475" max="9475" width="23.875" style="3" customWidth="1"/>
    <col min="9476" max="9476" width="23" style="3" customWidth="1"/>
    <col min="9477" max="9477" width="23.875" style="3" customWidth="1"/>
    <col min="9478" max="9478" width="23" style="3" customWidth="1"/>
    <col min="9479" max="9728" width="9" style="3"/>
    <col min="9729" max="9729" width="23.875" style="3" customWidth="1"/>
    <col min="9730" max="9730" width="23" style="3" customWidth="1"/>
    <col min="9731" max="9731" width="23.875" style="3" customWidth="1"/>
    <col min="9732" max="9732" width="23" style="3" customWidth="1"/>
    <col min="9733" max="9733" width="23.875" style="3" customWidth="1"/>
    <col min="9734" max="9734" width="23" style="3" customWidth="1"/>
    <col min="9735" max="9984" width="9" style="3"/>
    <col min="9985" max="9985" width="23.875" style="3" customWidth="1"/>
    <col min="9986" max="9986" width="23" style="3" customWidth="1"/>
    <col min="9987" max="9987" width="23.875" style="3" customWidth="1"/>
    <col min="9988" max="9988" width="23" style="3" customWidth="1"/>
    <col min="9989" max="9989" width="23.875" style="3" customWidth="1"/>
    <col min="9990" max="9990" width="23" style="3" customWidth="1"/>
    <col min="9991" max="10240" width="9" style="3"/>
    <col min="10241" max="10241" width="23.875" style="3" customWidth="1"/>
    <col min="10242" max="10242" width="23" style="3" customWidth="1"/>
    <col min="10243" max="10243" width="23.875" style="3" customWidth="1"/>
    <col min="10244" max="10244" width="23" style="3" customWidth="1"/>
    <col min="10245" max="10245" width="23.875" style="3" customWidth="1"/>
    <col min="10246" max="10246" width="23" style="3" customWidth="1"/>
    <col min="10247" max="10496" width="9" style="3"/>
    <col min="10497" max="10497" width="23.875" style="3" customWidth="1"/>
    <col min="10498" max="10498" width="23" style="3" customWidth="1"/>
    <col min="10499" max="10499" width="23.875" style="3" customWidth="1"/>
    <col min="10500" max="10500" width="23" style="3" customWidth="1"/>
    <col min="10501" max="10501" width="23.875" style="3" customWidth="1"/>
    <col min="10502" max="10502" width="23" style="3" customWidth="1"/>
    <col min="10503" max="10752" width="9" style="3"/>
    <col min="10753" max="10753" width="23.875" style="3" customWidth="1"/>
    <col min="10754" max="10754" width="23" style="3" customWidth="1"/>
    <col min="10755" max="10755" width="23.875" style="3" customWidth="1"/>
    <col min="10756" max="10756" width="23" style="3" customWidth="1"/>
    <col min="10757" max="10757" width="23.875" style="3" customWidth="1"/>
    <col min="10758" max="10758" width="23" style="3" customWidth="1"/>
    <col min="10759" max="11008" width="9" style="3"/>
    <col min="11009" max="11009" width="23.875" style="3" customWidth="1"/>
    <col min="11010" max="11010" width="23" style="3" customWidth="1"/>
    <col min="11011" max="11011" width="23.875" style="3" customWidth="1"/>
    <col min="11012" max="11012" width="23" style="3" customWidth="1"/>
    <col min="11013" max="11013" width="23.875" style="3" customWidth="1"/>
    <col min="11014" max="11014" width="23" style="3" customWidth="1"/>
    <col min="11015" max="11264" width="9" style="3"/>
    <col min="11265" max="11265" width="23.875" style="3" customWidth="1"/>
    <col min="11266" max="11266" width="23" style="3" customWidth="1"/>
    <col min="11267" max="11267" width="23.875" style="3" customWidth="1"/>
    <col min="11268" max="11268" width="23" style="3" customWidth="1"/>
    <col min="11269" max="11269" width="23.875" style="3" customWidth="1"/>
    <col min="11270" max="11270" width="23" style="3" customWidth="1"/>
    <col min="11271" max="11520" width="9" style="3"/>
    <col min="11521" max="11521" width="23.875" style="3" customWidth="1"/>
    <col min="11522" max="11522" width="23" style="3" customWidth="1"/>
    <col min="11523" max="11523" width="23.875" style="3" customWidth="1"/>
    <col min="11524" max="11524" width="23" style="3" customWidth="1"/>
    <col min="11525" max="11525" width="23.875" style="3" customWidth="1"/>
    <col min="11526" max="11526" width="23" style="3" customWidth="1"/>
    <col min="11527" max="11776" width="9" style="3"/>
    <col min="11777" max="11777" width="23.875" style="3" customWidth="1"/>
    <col min="11778" max="11778" width="23" style="3" customWidth="1"/>
    <col min="11779" max="11779" width="23.875" style="3" customWidth="1"/>
    <col min="11780" max="11780" width="23" style="3" customWidth="1"/>
    <col min="11781" max="11781" width="23.875" style="3" customWidth="1"/>
    <col min="11782" max="11782" width="23" style="3" customWidth="1"/>
    <col min="11783" max="12032" width="9" style="3"/>
    <col min="12033" max="12033" width="23.875" style="3" customWidth="1"/>
    <col min="12034" max="12034" width="23" style="3" customWidth="1"/>
    <col min="12035" max="12035" width="23.875" style="3" customWidth="1"/>
    <col min="12036" max="12036" width="23" style="3" customWidth="1"/>
    <col min="12037" max="12037" width="23.875" style="3" customWidth="1"/>
    <col min="12038" max="12038" width="23" style="3" customWidth="1"/>
    <col min="12039" max="12288" width="9" style="3"/>
    <col min="12289" max="12289" width="23.875" style="3" customWidth="1"/>
    <col min="12290" max="12290" width="23" style="3" customWidth="1"/>
    <col min="12291" max="12291" width="23.875" style="3" customWidth="1"/>
    <col min="12292" max="12292" width="23" style="3" customWidth="1"/>
    <col min="12293" max="12293" width="23.875" style="3" customWidth="1"/>
    <col min="12294" max="12294" width="23" style="3" customWidth="1"/>
    <col min="12295" max="12544" width="9" style="3"/>
    <col min="12545" max="12545" width="23.875" style="3" customWidth="1"/>
    <col min="12546" max="12546" width="23" style="3" customWidth="1"/>
    <col min="12547" max="12547" width="23.875" style="3" customWidth="1"/>
    <col min="12548" max="12548" width="23" style="3" customWidth="1"/>
    <col min="12549" max="12549" width="23.875" style="3" customWidth="1"/>
    <col min="12550" max="12550" width="23" style="3" customWidth="1"/>
    <col min="12551" max="12800" width="9" style="3"/>
    <col min="12801" max="12801" width="23.875" style="3" customWidth="1"/>
    <col min="12802" max="12802" width="23" style="3" customWidth="1"/>
    <col min="12803" max="12803" width="23.875" style="3" customWidth="1"/>
    <col min="12804" max="12804" width="23" style="3" customWidth="1"/>
    <col min="12805" max="12805" width="23.875" style="3" customWidth="1"/>
    <col min="12806" max="12806" width="23" style="3" customWidth="1"/>
    <col min="12807" max="13056" width="9" style="3"/>
    <col min="13057" max="13057" width="23.875" style="3" customWidth="1"/>
    <col min="13058" max="13058" width="23" style="3" customWidth="1"/>
    <col min="13059" max="13059" width="23.875" style="3" customWidth="1"/>
    <col min="13060" max="13060" width="23" style="3" customWidth="1"/>
    <col min="13061" max="13061" width="23.875" style="3" customWidth="1"/>
    <col min="13062" max="13062" width="23" style="3" customWidth="1"/>
    <col min="13063" max="13312" width="9" style="3"/>
    <col min="13313" max="13313" width="23.875" style="3" customWidth="1"/>
    <col min="13314" max="13314" width="23" style="3" customWidth="1"/>
    <col min="13315" max="13315" width="23.875" style="3" customWidth="1"/>
    <col min="13316" max="13316" width="23" style="3" customWidth="1"/>
    <col min="13317" max="13317" width="23.875" style="3" customWidth="1"/>
    <col min="13318" max="13318" width="23" style="3" customWidth="1"/>
    <col min="13319" max="13568" width="9" style="3"/>
    <col min="13569" max="13569" width="23.875" style="3" customWidth="1"/>
    <col min="13570" max="13570" width="23" style="3" customWidth="1"/>
    <col min="13571" max="13571" width="23.875" style="3" customWidth="1"/>
    <col min="13572" max="13572" width="23" style="3" customWidth="1"/>
    <col min="13573" max="13573" width="23.875" style="3" customWidth="1"/>
    <col min="13574" max="13574" width="23" style="3" customWidth="1"/>
    <col min="13575" max="13824" width="9" style="3"/>
    <col min="13825" max="13825" width="23.875" style="3" customWidth="1"/>
    <col min="13826" max="13826" width="23" style="3" customWidth="1"/>
    <col min="13827" max="13827" width="23.875" style="3" customWidth="1"/>
    <col min="13828" max="13828" width="23" style="3" customWidth="1"/>
    <col min="13829" max="13829" width="23.875" style="3" customWidth="1"/>
    <col min="13830" max="13830" width="23" style="3" customWidth="1"/>
    <col min="13831" max="14080" width="9" style="3"/>
    <col min="14081" max="14081" width="23.875" style="3" customWidth="1"/>
    <col min="14082" max="14082" width="23" style="3" customWidth="1"/>
    <col min="14083" max="14083" width="23.875" style="3" customWidth="1"/>
    <col min="14084" max="14084" width="23" style="3" customWidth="1"/>
    <col min="14085" max="14085" width="23.875" style="3" customWidth="1"/>
    <col min="14086" max="14086" width="23" style="3" customWidth="1"/>
    <col min="14087" max="14336" width="9" style="3"/>
    <col min="14337" max="14337" width="23.875" style="3" customWidth="1"/>
    <col min="14338" max="14338" width="23" style="3" customWidth="1"/>
    <col min="14339" max="14339" width="23.875" style="3" customWidth="1"/>
    <col min="14340" max="14340" width="23" style="3" customWidth="1"/>
    <col min="14341" max="14341" width="23.875" style="3" customWidth="1"/>
    <col min="14342" max="14342" width="23" style="3" customWidth="1"/>
    <col min="14343" max="14592" width="9" style="3"/>
    <col min="14593" max="14593" width="23.875" style="3" customWidth="1"/>
    <col min="14594" max="14594" width="23" style="3" customWidth="1"/>
    <col min="14595" max="14595" width="23.875" style="3" customWidth="1"/>
    <col min="14596" max="14596" width="23" style="3" customWidth="1"/>
    <col min="14597" max="14597" width="23.875" style="3" customWidth="1"/>
    <col min="14598" max="14598" width="23" style="3" customWidth="1"/>
    <col min="14599" max="14848" width="9" style="3"/>
    <col min="14849" max="14849" width="23.875" style="3" customWidth="1"/>
    <col min="14850" max="14850" width="23" style="3" customWidth="1"/>
    <col min="14851" max="14851" width="23.875" style="3" customWidth="1"/>
    <col min="14852" max="14852" width="23" style="3" customWidth="1"/>
    <col min="14853" max="14853" width="23.875" style="3" customWidth="1"/>
    <col min="14854" max="14854" width="23" style="3" customWidth="1"/>
    <col min="14855" max="15104" width="9" style="3"/>
    <col min="15105" max="15105" width="23.875" style="3" customWidth="1"/>
    <col min="15106" max="15106" width="23" style="3" customWidth="1"/>
    <col min="15107" max="15107" width="23.875" style="3" customWidth="1"/>
    <col min="15108" max="15108" width="23" style="3" customWidth="1"/>
    <col min="15109" max="15109" width="23.875" style="3" customWidth="1"/>
    <col min="15110" max="15110" width="23" style="3" customWidth="1"/>
    <col min="15111" max="15360" width="9" style="3"/>
    <col min="15361" max="15361" width="23.875" style="3" customWidth="1"/>
    <col min="15362" max="15362" width="23" style="3" customWidth="1"/>
    <col min="15363" max="15363" width="23.875" style="3" customWidth="1"/>
    <col min="15364" max="15364" width="23" style="3" customWidth="1"/>
    <col min="15365" max="15365" width="23.875" style="3" customWidth="1"/>
    <col min="15366" max="15366" width="23" style="3" customWidth="1"/>
    <col min="15367" max="15616" width="9" style="3"/>
    <col min="15617" max="15617" width="23.875" style="3" customWidth="1"/>
    <col min="15618" max="15618" width="23" style="3" customWidth="1"/>
    <col min="15619" max="15619" width="23.875" style="3" customWidth="1"/>
    <col min="15620" max="15620" width="23" style="3" customWidth="1"/>
    <col min="15621" max="15621" width="23.875" style="3" customWidth="1"/>
    <col min="15622" max="15622" width="23" style="3" customWidth="1"/>
    <col min="15623" max="15872" width="9" style="3"/>
    <col min="15873" max="15873" width="23.875" style="3" customWidth="1"/>
    <col min="15874" max="15874" width="23" style="3" customWidth="1"/>
    <col min="15875" max="15875" width="23.875" style="3" customWidth="1"/>
    <col min="15876" max="15876" width="23" style="3" customWidth="1"/>
    <col min="15877" max="15877" width="23.875" style="3" customWidth="1"/>
    <col min="15878" max="15878" width="23" style="3" customWidth="1"/>
    <col min="15879" max="16128" width="9" style="3"/>
    <col min="16129" max="16129" width="23.875" style="3" customWidth="1"/>
    <col min="16130" max="16130" width="23" style="3" customWidth="1"/>
    <col min="16131" max="16131" width="23.875" style="3" customWidth="1"/>
    <col min="16132" max="16132" width="23" style="3" customWidth="1"/>
    <col min="16133" max="16133" width="23.875" style="3" customWidth="1"/>
    <col min="16134" max="16134" width="23" style="3" customWidth="1"/>
    <col min="16135" max="16384" width="9" style="3"/>
  </cols>
  <sheetData>
    <row r="1" spans="1:6" ht="9" customHeight="1"/>
    <row r="2" spans="1:6" ht="30.75" customHeight="1" thickBot="1">
      <c r="A2" s="238" t="s">
        <v>45</v>
      </c>
      <c r="B2" s="238"/>
      <c r="C2" s="238"/>
      <c r="D2" s="238"/>
      <c r="E2" s="238"/>
      <c r="F2" s="238"/>
    </row>
    <row r="3" spans="1:6" ht="26.25" customHeight="1" thickBot="1">
      <c r="A3" s="236">
        <v>1</v>
      </c>
      <c r="B3" s="237"/>
      <c r="C3" s="236">
        <v>2</v>
      </c>
      <c r="D3" s="237"/>
      <c r="E3" s="236">
        <v>3</v>
      </c>
      <c r="F3" s="237"/>
    </row>
    <row r="4" spans="1:6" s="11" customFormat="1" ht="20.100000000000001" customHeight="1">
      <c r="A4" s="7" t="s">
        <v>38</v>
      </c>
      <c r="B4" s="10" t="s">
        <v>52</v>
      </c>
      <c r="C4" s="7" t="s">
        <v>46</v>
      </c>
      <c r="D4" s="10"/>
      <c r="E4" s="7" t="s">
        <v>9</v>
      </c>
      <c r="F4" s="10"/>
    </row>
    <row r="5" spans="1:6" s="11" customFormat="1" ht="20.100000000000001" customHeight="1">
      <c r="A5" s="9" t="s">
        <v>15</v>
      </c>
      <c r="B5" s="8" t="s">
        <v>21</v>
      </c>
      <c r="C5" s="9" t="s">
        <v>47</v>
      </c>
      <c r="D5" s="8"/>
      <c r="E5" s="9" t="s">
        <v>11</v>
      </c>
      <c r="F5" s="8"/>
    </row>
    <row r="6" spans="1:6" s="11" customFormat="1" ht="20.100000000000001" customHeight="1">
      <c r="A6" s="9" t="s">
        <v>16</v>
      </c>
      <c r="B6" s="8" t="s">
        <v>24</v>
      </c>
      <c r="C6" s="9" t="s">
        <v>48</v>
      </c>
      <c r="D6" s="8"/>
      <c r="E6" s="9"/>
      <c r="F6" s="8"/>
    </row>
    <row r="7" spans="1:6" s="11" customFormat="1" ht="20.100000000000001" customHeight="1">
      <c r="A7" s="9" t="s">
        <v>18</v>
      </c>
      <c r="B7" s="8" t="s">
        <v>25</v>
      </c>
      <c r="C7" s="9"/>
      <c r="D7" s="8"/>
      <c r="E7" s="9"/>
      <c r="F7" s="8"/>
    </row>
    <row r="8" spans="1:6" s="11" customFormat="1" ht="20.100000000000001" customHeight="1" thickBot="1">
      <c r="A8" s="14"/>
      <c r="B8" s="15"/>
      <c r="C8" s="14"/>
      <c r="D8" s="15"/>
      <c r="E8" s="9"/>
      <c r="F8" s="15"/>
    </row>
    <row r="9" spans="1:6" ht="26.25" customHeight="1" thickBot="1">
      <c r="A9" s="236">
        <v>4</v>
      </c>
      <c r="B9" s="237"/>
      <c r="C9" s="236">
        <v>5</v>
      </c>
      <c r="D9" s="237"/>
      <c r="E9" s="5">
        <v>6</v>
      </c>
      <c r="F9" s="6"/>
    </row>
    <row r="10" spans="1:6" s="11" customFormat="1" ht="20.100000000000001" customHeight="1">
      <c r="A10" s="9" t="s">
        <v>29</v>
      </c>
      <c r="B10" s="10"/>
      <c r="C10" s="7" t="s">
        <v>26</v>
      </c>
      <c r="D10" s="10"/>
      <c r="E10" s="7" t="s">
        <v>39</v>
      </c>
      <c r="F10" s="10" t="s">
        <v>40</v>
      </c>
    </row>
    <row r="11" spans="1:6" s="11" customFormat="1" ht="20.100000000000001" customHeight="1">
      <c r="A11" s="11" t="s">
        <v>49</v>
      </c>
      <c r="B11" s="8"/>
      <c r="C11" s="9" t="s">
        <v>27</v>
      </c>
      <c r="D11" s="8"/>
      <c r="E11" s="9" t="s">
        <v>28</v>
      </c>
      <c r="F11" s="8" t="s">
        <v>42</v>
      </c>
    </row>
    <row r="12" spans="1:6" s="11" customFormat="1" ht="20.100000000000001" customHeight="1">
      <c r="A12" s="9" t="s">
        <v>50</v>
      </c>
      <c r="B12" s="8"/>
      <c r="C12" s="9"/>
      <c r="D12" s="8"/>
      <c r="E12" s="9" t="s">
        <v>41</v>
      </c>
      <c r="F12" s="8"/>
    </row>
    <row r="13" spans="1:6" s="11" customFormat="1" ht="20.100000000000001" customHeight="1">
      <c r="A13" s="9" t="s">
        <v>53</v>
      </c>
      <c r="B13" s="8"/>
      <c r="C13" s="9"/>
      <c r="D13" s="8"/>
      <c r="E13" s="9" t="s">
        <v>43</v>
      </c>
      <c r="F13" s="8"/>
    </row>
    <row r="14" spans="1:6" s="11" customFormat="1" ht="20.100000000000001" customHeight="1" thickBot="1">
      <c r="A14" s="14" t="s">
        <v>54</v>
      </c>
      <c r="B14" s="15"/>
      <c r="C14" s="14"/>
      <c r="D14" s="15"/>
      <c r="E14" s="14"/>
      <c r="F14" s="15"/>
    </row>
    <row r="15" spans="1:6" ht="26.25" customHeight="1" thickBot="1">
      <c r="A15" s="236">
        <v>7</v>
      </c>
      <c r="B15" s="237"/>
      <c r="C15" s="236">
        <v>8</v>
      </c>
      <c r="D15" s="237"/>
      <c r="E15" s="5">
        <v>9</v>
      </c>
      <c r="F15" s="6"/>
    </row>
    <row r="16" spans="1:6" s="11" customFormat="1" ht="20.100000000000001" customHeight="1">
      <c r="A16" s="7" t="s">
        <v>32</v>
      </c>
      <c r="B16" s="10"/>
      <c r="C16" s="7" t="s">
        <v>30</v>
      </c>
      <c r="D16" s="10"/>
      <c r="E16" s="7" t="s">
        <v>31</v>
      </c>
      <c r="F16" s="10"/>
    </row>
    <row r="17" spans="1:6" s="11" customFormat="1" ht="20.100000000000001" customHeight="1">
      <c r="A17" s="9" t="s">
        <v>33</v>
      </c>
      <c r="B17" s="8"/>
      <c r="C17" s="9" t="s">
        <v>34</v>
      </c>
      <c r="D17" s="8"/>
      <c r="E17" s="9" t="s">
        <v>35</v>
      </c>
      <c r="F17" s="8"/>
    </row>
    <row r="18" spans="1:6" s="11" customFormat="1" ht="20.100000000000001" customHeight="1">
      <c r="A18" s="9" t="s">
        <v>44</v>
      </c>
      <c r="B18" s="8"/>
      <c r="C18" s="9" t="s">
        <v>37</v>
      </c>
      <c r="D18" s="8"/>
      <c r="E18" s="9" t="s">
        <v>19</v>
      </c>
      <c r="F18" s="8"/>
    </row>
    <row r="19" spans="1:6" s="11" customFormat="1" ht="20.100000000000001" customHeight="1">
      <c r="A19" s="9" t="s">
        <v>36</v>
      </c>
      <c r="B19" s="8"/>
      <c r="C19" s="9" t="s">
        <v>64</v>
      </c>
      <c r="D19" s="8"/>
      <c r="F19" s="8"/>
    </row>
    <row r="20" spans="1:6" s="11" customFormat="1" ht="20.100000000000001" customHeight="1" thickBot="1">
      <c r="A20" s="16"/>
      <c r="B20" s="15"/>
      <c r="C20" s="16"/>
      <c r="D20" s="15"/>
      <c r="E20" s="14"/>
      <c r="F20" s="15"/>
    </row>
    <row r="21" spans="1:6" ht="26.25" customHeight="1" thickBot="1">
      <c r="A21" s="236">
        <v>10</v>
      </c>
      <c r="B21" s="237"/>
      <c r="C21" s="5">
        <v>11</v>
      </c>
      <c r="D21" s="6"/>
      <c r="E21" s="5">
        <v>12</v>
      </c>
      <c r="F21" s="6"/>
    </row>
    <row r="22" spans="1:6" s="11" customFormat="1" ht="20.100000000000001" customHeight="1">
      <c r="A22" s="7" t="s">
        <v>56</v>
      </c>
      <c r="B22" s="8" t="s">
        <v>60</v>
      </c>
      <c r="C22" s="9" t="s">
        <v>14</v>
      </c>
      <c r="D22" s="10" t="s">
        <v>62</v>
      </c>
      <c r="E22" s="7" t="s">
        <v>12</v>
      </c>
      <c r="F22" s="8" t="s">
        <v>23</v>
      </c>
    </row>
    <row r="23" spans="1:6" s="11" customFormat="1" ht="20.100000000000001" customHeight="1">
      <c r="A23" s="9" t="s">
        <v>57</v>
      </c>
      <c r="B23" s="8" t="s">
        <v>55</v>
      </c>
      <c r="C23" s="9" t="s">
        <v>20</v>
      </c>
      <c r="D23" s="11" t="s">
        <v>63</v>
      </c>
      <c r="E23" s="9" t="s">
        <v>13</v>
      </c>
      <c r="F23" s="8" t="s">
        <v>22</v>
      </c>
    </row>
    <row r="24" spans="1:6" s="11" customFormat="1" ht="20.100000000000001" customHeight="1">
      <c r="A24" s="12" t="s">
        <v>58</v>
      </c>
      <c r="B24" s="13" t="s">
        <v>61</v>
      </c>
      <c r="C24" s="9" t="s">
        <v>10</v>
      </c>
      <c r="D24" s="8" t="s">
        <v>51</v>
      </c>
      <c r="E24" s="9" t="s">
        <v>17</v>
      </c>
      <c r="F24" s="8"/>
    </row>
    <row r="25" spans="1:6" s="11" customFormat="1" ht="20.100000000000001" customHeight="1">
      <c r="A25" s="9" t="s">
        <v>59</v>
      </c>
      <c r="C25" s="9" t="s">
        <v>65</v>
      </c>
      <c r="D25" s="8"/>
      <c r="E25" s="9"/>
      <c r="F25" s="8"/>
    </row>
    <row r="26" spans="1:6" s="11" customFormat="1" ht="20.100000000000001" customHeight="1" thickBot="1">
      <c r="A26" s="14"/>
      <c r="B26" s="15"/>
      <c r="C26" s="14"/>
      <c r="D26" s="15"/>
      <c r="E26" s="14"/>
      <c r="F26" s="15"/>
    </row>
  </sheetData>
  <mergeCells count="9">
    <mergeCell ref="A15:B15"/>
    <mergeCell ref="C15:D15"/>
    <mergeCell ref="A21:B21"/>
    <mergeCell ref="A2:F2"/>
    <mergeCell ref="A3:B3"/>
    <mergeCell ref="C3:D3"/>
    <mergeCell ref="E3:F3"/>
    <mergeCell ref="A9:B9"/>
    <mergeCell ref="C9:D9"/>
  </mergeCells>
  <phoneticPr fontId="3" type="noConversion"/>
  <pageMargins left="0.43307086614173229" right="0.47244094488188981" top="0.47244094488188981" bottom="0.35433070866141736" header="0.27559055118110237" footer="0.23622047244094491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매월 유지보수</vt:lpstr>
      <vt:lpstr>해지정리</vt:lpstr>
      <vt:lpstr>진두(IS)</vt:lpstr>
      <vt:lpstr>10월 유지보수증감 (2)</vt:lpstr>
      <vt:lpstr>9월 유지보수증감</vt:lpstr>
      <vt:lpstr>2014년만기</vt:lpstr>
      <vt:lpstr>'매월 유지보수'!Print_Area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ejlim</dc:creator>
  <cp:lastModifiedBy>한 미</cp:lastModifiedBy>
  <cp:lastPrinted>2025-12-31T04:05:04Z</cp:lastPrinted>
  <dcterms:created xsi:type="dcterms:W3CDTF">2009-12-15T05:22:49Z</dcterms:created>
  <dcterms:modified xsi:type="dcterms:W3CDTF">2026-01-27T05:29:16Z</dcterms:modified>
</cp:coreProperties>
</file>