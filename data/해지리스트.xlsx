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한미 개인폴더\●보고&amp;요청자료●\"/>
    </mc:Choice>
  </mc:AlternateContent>
  <xr:revisionPtr revIDLastSave="0" documentId="13_ncr:1_{61F0D284-5D94-47D4-B5A9-07E20916194A}" xr6:coauthVersionLast="47" xr6:coauthVersionMax="47" xr10:uidLastSave="{00000000-0000-0000-0000-000000000000}"/>
  <bookViews>
    <workbookView xWindow="28680" yWindow="-120" windowWidth="29040" windowHeight="16440" activeTab="1" xr2:uid="{3F208682-84CE-4AD4-8955-E490C68B6F9E}"/>
  </bookViews>
  <sheets>
    <sheet name="Sheet2" sheetId="2" r:id="rId1"/>
    <sheet name="Sheet1" sheetId="1" r:id="rId2"/>
  </sheets>
  <definedNames>
    <definedName name="_xlnm._FilterDatabase" localSheetId="1" hidden="1">Sheet1!$A$1:$O$64</definedName>
  </definedNames>
  <calcPr calcId="191029"/>
  <pivotCaches>
    <pivotCache cacheId="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1" i="1" l="1"/>
  <c r="M71" i="1"/>
  <c r="N71" i="1"/>
  <c r="O71" i="1"/>
  <c r="P71" i="1"/>
  <c r="R71" i="1"/>
  <c r="S71" i="1"/>
  <c r="T71" i="1"/>
  <c r="U71" i="1"/>
  <c r="Q71" i="1"/>
  <c r="Q68" i="1"/>
  <c r="T68" i="1"/>
  <c r="F43" i="1"/>
  <c r="G43" i="1" s="1"/>
  <c r="G64" i="1"/>
  <c r="G63" i="1"/>
  <c r="G62" i="1"/>
  <c r="G61" i="1"/>
  <c r="G60" i="1"/>
  <c r="G59" i="1"/>
  <c r="G58" i="1"/>
  <c r="M64" i="1"/>
  <c r="M63" i="1"/>
  <c r="M49" i="1"/>
  <c r="G49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8" i="1"/>
  <c r="M47" i="1"/>
  <c r="M46" i="1"/>
  <c r="M45" i="1"/>
  <c r="M44" i="1"/>
  <c r="M43" i="1"/>
  <c r="M42" i="1"/>
  <c r="G57" i="1"/>
  <c r="G56" i="1"/>
  <c r="G55" i="1"/>
  <c r="G54" i="1"/>
  <c r="G53" i="1"/>
  <c r="G52" i="1"/>
  <c r="G51" i="1"/>
  <c r="G50" i="1"/>
  <c r="G48" i="1"/>
  <c r="G47" i="1"/>
  <c r="G46" i="1"/>
  <c r="G45" i="1"/>
  <c r="G44" i="1"/>
  <c r="G42" i="1"/>
  <c r="F41" i="1"/>
  <c r="M41" i="1"/>
  <c r="M40" i="1"/>
  <c r="M39" i="1"/>
  <c r="M38" i="1"/>
  <c r="M37" i="1"/>
  <c r="M36" i="1"/>
  <c r="M35" i="1"/>
  <c r="M34" i="1"/>
  <c r="M33" i="1"/>
  <c r="M32" i="1"/>
  <c r="M31" i="1"/>
  <c r="M30" i="1"/>
  <c r="G41" i="1"/>
  <c r="G40" i="1"/>
  <c r="G39" i="1"/>
  <c r="G38" i="1"/>
  <c r="G37" i="1"/>
  <c r="G36" i="1"/>
  <c r="G35" i="1"/>
  <c r="G34" i="1"/>
  <c r="G33" i="1"/>
  <c r="G32" i="1"/>
  <c r="G31" i="1"/>
  <c r="G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G27" i="1"/>
  <c r="G26" i="1"/>
  <c r="G25" i="1"/>
  <c r="G24" i="1"/>
  <c r="G23" i="1"/>
  <c r="G22" i="1"/>
  <c r="G21" i="1"/>
  <c r="G20" i="1"/>
</calcChain>
</file>

<file path=xl/sharedStrings.xml><?xml version="1.0" encoding="utf-8"?>
<sst xmlns="http://schemas.openxmlformats.org/spreadsheetml/2006/main" count="514" uniqueCount="197">
  <si>
    <t>구분</t>
    <phoneticPr fontId="3" type="noConversion"/>
  </si>
  <si>
    <t>연도</t>
    <phoneticPr fontId="3" type="noConversion"/>
  </si>
  <si>
    <t>월</t>
    <phoneticPr fontId="3" type="noConversion"/>
  </si>
  <si>
    <t>업체명</t>
    <phoneticPr fontId="3" type="noConversion"/>
  </si>
  <si>
    <t>월 계약</t>
    <phoneticPr fontId="3" type="noConversion"/>
  </si>
  <si>
    <t>월 외주</t>
    <phoneticPr fontId="3" type="noConversion"/>
  </si>
  <si>
    <t>월 이익</t>
    <phoneticPr fontId="3" type="noConversion"/>
  </si>
  <si>
    <t>부서</t>
    <phoneticPr fontId="3" type="noConversion"/>
  </si>
  <si>
    <t>비고</t>
    <phoneticPr fontId="3" type="noConversion"/>
  </si>
  <si>
    <t>시작일</t>
    <phoneticPr fontId="3" type="noConversion"/>
  </si>
  <si>
    <t>종류일</t>
    <phoneticPr fontId="3" type="noConversion"/>
  </si>
  <si>
    <t>개월수</t>
    <phoneticPr fontId="3" type="noConversion"/>
  </si>
  <si>
    <t>엔지니어</t>
    <phoneticPr fontId="3" type="noConversion"/>
  </si>
  <si>
    <t>해지</t>
  </si>
  <si>
    <t>25년</t>
  </si>
  <si>
    <t>1월</t>
  </si>
  <si>
    <t>생명윤리/와플원</t>
    <phoneticPr fontId="3" type="noConversion"/>
  </si>
  <si>
    <t>기술1팀</t>
  </si>
  <si>
    <t>생명윤리가 상주근무로 변경되면서 유지보수를 상주엔지니어가 진행하는 것으로 변경</t>
    <phoneticPr fontId="3" type="noConversion"/>
  </si>
  <si>
    <t>이정현</t>
    <phoneticPr fontId="3" type="noConversion"/>
  </si>
  <si>
    <t>한성호</t>
    <phoneticPr fontId="3" type="noConversion"/>
  </si>
  <si>
    <t>케이티아이에스</t>
  </si>
  <si>
    <t>기술2팀</t>
  </si>
  <si>
    <t>수행업체인  ktis와 kt간 프로젝트 종료로 계약 해지</t>
    <phoneticPr fontId="3" type="noConversion"/>
  </si>
  <si>
    <t>오상력</t>
    <phoneticPr fontId="3" type="noConversion"/>
  </si>
  <si>
    <t>협력사</t>
    <phoneticPr fontId="3" type="noConversion"/>
  </si>
  <si>
    <t>해지</t>
    <phoneticPr fontId="3" type="noConversion"/>
  </si>
  <si>
    <t>25년</t>
    <phoneticPr fontId="3" type="noConversion"/>
  </si>
  <si>
    <t>2월</t>
    <phoneticPr fontId="3" type="noConversion"/>
  </si>
  <si>
    <t>분당러스크재활병원</t>
    <phoneticPr fontId="3" type="noConversion"/>
  </si>
  <si>
    <t>기술1팀</t>
    <phoneticPr fontId="3" type="noConversion"/>
  </si>
  <si>
    <t>대법원의 명도재판 판결 이후, 임대인의 사적인 조치로 인해 환자 전용 엘리베이터의 강제 운행 중단이 발생 등 피해가 발생하여 2025년 3월21일부로 병원 운영을 종료하여 해지 진행</t>
    <phoneticPr fontId="3" type="noConversion"/>
  </si>
  <si>
    <t>이상엽</t>
    <phoneticPr fontId="3" type="noConversion"/>
  </si>
  <si>
    <t>제냐코리아</t>
    <phoneticPr fontId="3" type="noConversion"/>
  </si>
  <si>
    <t>해외IT에서 한국지사 IT관리를 직접 수행 하기로 하여 해지(월4회 종일 상주)</t>
    <phoneticPr fontId="3" type="noConversion"/>
  </si>
  <si>
    <t>전상율</t>
    <phoneticPr fontId="3" type="noConversion"/>
  </si>
  <si>
    <t>4월</t>
    <phoneticPr fontId="3" type="noConversion"/>
  </si>
  <si>
    <t>포어스딜라이트</t>
  </si>
  <si>
    <t>업체변경으로 인한 해지</t>
    <phoneticPr fontId="3" type="noConversion"/>
  </si>
  <si>
    <t>임현섭</t>
    <phoneticPr fontId="3" type="noConversion"/>
  </si>
  <si>
    <t>서명균</t>
    <phoneticPr fontId="3" type="noConversion"/>
  </si>
  <si>
    <t>5월</t>
    <phoneticPr fontId="3" type="noConversion"/>
  </si>
  <si>
    <t>스미토모전공</t>
  </si>
  <si>
    <t>본사 정책변경( IT 유지보수 업체금지) 및 대상장비 미사용에 따라 해지</t>
    <phoneticPr fontId="3" type="noConversion"/>
  </si>
  <si>
    <t>박상하</t>
    <phoneticPr fontId="3" type="noConversion"/>
  </si>
  <si>
    <t>6월</t>
    <phoneticPr fontId="3" type="noConversion"/>
  </si>
  <si>
    <t>비전스튜디오</t>
    <phoneticPr fontId="3" type="noConversion"/>
  </si>
  <si>
    <t>영업팀 임현섭</t>
    <phoneticPr fontId="3" type="noConversion"/>
  </si>
  <si>
    <t>사무실 이전하며 전산실 없애면서 계약 해지</t>
    <phoneticPr fontId="3" type="noConversion"/>
  </si>
  <si>
    <t>아이엠씨디코리아</t>
    <phoneticPr fontId="3" type="noConversion"/>
  </si>
  <si>
    <t>해외 본사 IT 담당자 요청으로 업체 변경 (월4회 반일 상주)</t>
    <phoneticPr fontId="3" type="noConversion"/>
  </si>
  <si>
    <t>오빈</t>
    <phoneticPr fontId="3" type="noConversion"/>
  </si>
  <si>
    <t>8월</t>
    <phoneticPr fontId="3" type="noConversion"/>
  </si>
  <si>
    <t>하이네켄</t>
    <phoneticPr fontId="3" type="noConversion"/>
  </si>
  <si>
    <t>내부 비용 절감을 위한 고정비용 조정에 따른 해지 (월4회 반일 상주)</t>
    <phoneticPr fontId="3" type="noConversion"/>
  </si>
  <si>
    <t>박재성</t>
    <phoneticPr fontId="3" type="noConversion"/>
  </si>
  <si>
    <t>7월</t>
    <phoneticPr fontId="3" type="noConversion"/>
  </si>
  <si>
    <t>포어스딜라이트</t>
    <phoneticPr fontId="3" type="noConversion"/>
  </si>
  <si>
    <t>기술2팀</t>
    <phoneticPr fontId="3" type="noConversion"/>
  </si>
  <si>
    <t>쉰들러엘리베이터 서버 클라우드환경으로 전환에 따른 해지</t>
    <phoneticPr fontId="3" type="noConversion"/>
  </si>
  <si>
    <t>11월</t>
    <phoneticPr fontId="3" type="noConversion"/>
  </si>
  <si>
    <t>한길더블류아이티</t>
    <phoneticPr fontId="3" type="noConversion"/>
  </si>
  <si>
    <t>아덴텍코리아 폐업으로 해지</t>
    <phoneticPr fontId="3" type="noConversion"/>
  </si>
  <si>
    <t>한국공간데이터</t>
    <phoneticPr fontId="3" type="noConversion"/>
  </si>
  <si>
    <t>인터넷회선 변경 이후 장애 발생하지않아, 방화벽 관리 필요성 없어짐에 따라 해지</t>
    <phoneticPr fontId="3" type="noConversion"/>
  </si>
  <si>
    <t>12월</t>
    <phoneticPr fontId="3" type="noConversion"/>
  </si>
  <si>
    <t>에이치씨코퍼레이션</t>
    <phoneticPr fontId="3" type="noConversion"/>
  </si>
  <si>
    <t>SK/GPI서버/고객사 영업담당자 변경으로 인한 하도급 수행업체 변경</t>
    <phoneticPr fontId="3" type="noConversion"/>
  </si>
  <si>
    <t>손동환</t>
    <phoneticPr fontId="3" type="noConversion"/>
  </si>
  <si>
    <t xml:space="preserve">
SK/GPI서버/고객사 영업담당자 변경으로 인한 하도급 수행업체 변경</t>
    <phoneticPr fontId="3" type="noConversion"/>
  </si>
  <si>
    <t>롯데이노베이트</t>
    <phoneticPr fontId="3" type="noConversion"/>
  </si>
  <si>
    <t>KG/기존 영업담당자 변경(오상력이사 퇴사)으로 인한 고객사 지정 수행사로 변경</t>
    <phoneticPr fontId="3" type="noConversion"/>
  </si>
  <si>
    <t>아이센트</t>
    <phoneticPr fontId="3" type="noConversion"/>
  </si>
  <si>
    <t>애플씨</t>
    <phoneticPr fontId="3" type="noConversion"/>
  </si>
  <si>
    <t xml:space="preserve">무신사 계약 해지요청으로 인한 해지(케이씨에프 년 일시 청구 160만)
</t>
    <phoneticPr fontId="3" type="noConversion"/>
  </si>
  <si>
    <t>그룹에이트</t>
    <phoneticPr fontId="3" type="noConversion"/>
  </si>
  <si>
    <t>경영악화로 인한 해지</t>
    <phoneticPr fontId="3" type="noConversion"/>
  </si>
  <si>
    <t>영업담당</t>
    <phoneticPr fontId="3" type="noConversion"/>
  </si>
  <si>
    <t>신규</t>
    <phoneticPr fontId="3" type="noConversion"/>
  </si>
  <si>
    <t>영업팀</t>
    <phoneticPr fontId="3" type="noConversion"/>
  </si>
  <si>
    <t>1월</t>
    <phoneticPr fontId="3" type="noConversion"/>
  </si>
  <si>
    <t>정진특허법인&amp;지식재산전력연구소</t>
    <phoneticPr fontId="3" type="noConversion"/>
  </si>
  <si>
    <t>아이아크건축사무소</t>
    <phoneticPr fontId="3" type="noConversion"/>
  </si>
  <si>
    <t>3월</t>
    <phoneticPr fontId="3" type="noConversion"/>
  </si>
  <si>
    <t>한국마즈</t>
    <phoneticPr fontId="3" type="noConversion"/>
  </si>
  <si>
    <t>내부 직원 채용</t>
    <phoneticPr fontId="3" type="noConversion"/>
  </si>
  <si>
    <t>나이츠넷</t>
    <phoneticPr fontId="3" type="noConversion"/>
  </si>
  <si>
    <t>지속적 미수 발생으로 포어스 딜라이트와 계약 예정(7월 중 재계약)</t>
    <phoneticPr fontId="3" type="noConversion"/>
  </si>
  <si>
    <t>소비코</t>
    <phoneticPr fontId="3" type="noConversion"/>
  </si>
  <si>
    <t>방배동 사무실 철수로 인한 유지보수 계약 해지</t>
    <phoneticPr fontId="3" type="noConversion"/>
  </si>
  <si>
    <t>블랙우드리뉴어블스</t>
    <phoneticPr fontId="3" type="noConversion"/>
  </si>
  <si>
    <t>에스아이지콤비블럭</t>
    <phoneticPr fontId="3" type="noConversion"/>
  </si>
  <si>
    <t>반포사회복지관</t>
    <phoneticPr fontId="3" type="noConversion"/>
  </si>
  <si>
    <t>공차</t>
    <phoneticPr fontId="3" type="noConversion"/>
  </si>
  <si>
    <t>24년</t>
    <phoneticPr fontId="3" type="noConversion"/>
  </si>
  <si>
    <t>송시원</t>
    <phoneticPr fontId="3" type="noConversion"/>
  </si>
  <si>
    <t>폐업으로 인한 해지</t>
    <phoneticPr fontId="3" type="noConversion"/>
  </si>
  <si>
    <t>최낙영</t>
    <phoneticPr fontId="3" type="noConversion"/>
  </si>
  <si>
    <t>업체 합병 및 자금난으로 인해 계약 해지</t>
    <phoneticPr fontId="3" type="noConversion"/>
  </si>
  <si>
    <t>해외본사에서 IT 원격으로 업무 가능하다고 하여 해지</t>
    <phoneticPr fontId="3" type="noConversion"/>
  </si>
  <si>
    <t>무신하 홍대테라스 지점 사업철수로 해지 요청(자이젤 방화벽)</t>
    <phoneticPr fontId="3" type="noConversion"/>
  </si>
  <si>
    <t>반포사회복지관 계열 일괄 계약종료(반포,사랑의어린이집,서초열린세상,은빛마을(</t>
    <phoneticPr fontId="3" type="noConversion"/>
  </si>
  <si>
    <t>상주 유지보수계약 종료 (주5일 반일상주)</t>
    <phoneticPr fontId="3" type="noConversion"/>
  </si>
  <si>
    <t>최승관</t>
    <phoneticPr fontId="3" type="noConversion"/>
  </si>
  <si>
    <t>젠지이스포츠글로벌아카데미</t>
    <phoneticPr fontId="3" type="noConversion"/>
  </si>
  <si>
    <t>디자인코리아</t>
    <phoneticPr fontId="3" type="noConversion"/>
  </si>
  <si>
    <t>데스크탑 17대 자체 관리 예정으로 해지 요청</t>
    <phoneticPr fontId="3" type="noConversion"/>
  </si>
  <si>
    <t>유빈스</t>
    <phoneticPr fontId="3" type="noConversion"/>
  </si>
  <si>
    <t>계약기간이 종료됨에 따라 해지</t>
    <phoneticPr fontId="3" type="noConversion"/>
  </si>
  <si>
    <t>쿠도에셋파트너스</t>
    <phoneticPr fontId="3" type="noConversion"/>
  </si>
  <si>
    <t>마이스리치</t>
    <phoneticPr fontId="3" type="noConversion"/>
  </si>
  <si>
    <t>내부적으로 자체 유지보수가 가능하다고 판단하여 해지 요청</t>
    <phoneticPr fontId="3" type="noConversion"/>
  </si>
  <si>
    <t>안다자산운용</t>
    <phoneticPr fontId="3" type="noConversion"/>
  </si>
  <si>
    <t>에이비디브이</t>
    <phoneticPr fontId="3" type="noConversion"/>
  </si>
  <si>
    <t>자체 유지보수 진행으로 계약 해지</t>
    <phoneticPr fontId="3" type="noConversion"/>
  </si>
  <si>
    <t>정의기억연대</t>
    <phoneticPr fontId="3" type="noConversion"/>
  </si>
  <si>
    <t>NAS에서 클라우드로 전환하여 유지보수 계약 해지</t>
    <phoneticPr fontId="3" type="noConversion"/>
  </si>
  <si>
    <t>제이씨웍스</t>
    <phoneticPr fontId="3" type="noConversion"/>
  </si>
  <si>
    <t>1년 평균계산) 고객사의 기존 유지보수 대상인 학교 홈페이지 웹호스팅 서비스 종료(24년 2월말)로 인해 주사업자인 니트로아이가 사업을 접게 되어 입찰참여가 불가 하게 됨.</t>
    <phoneticPr fontId="3" type="noConversion"/>
  </si>
  <si>
    <t>커넥스</t>
    <phoneticPr fontId="3" type="noConversion"/>
  </si>
  <si>
    <t>1년 평균계산) 계약구조 변경</t>
    <phoneticPr fontId="3" type="noConversion"/>
  </si>
  <si>
    <t>23년</t>
    <phoneticPr fontId="3" type="noConversion"/>
  </si>
  <si>
    <t>본사 건물은 유지보수 계약 유지하나, 아카데미 건물의 네트워크 및 방화벽 장비는 불필요하게 되어 유지보수 해지</t>
    <phoneticPr fontId="3" type="noConversion"/>
  </si>
  <si>
    <t>인원 감축으로 인해 자체 유지보수 진행</t>
    <phoneticPr fontId="3" type="noConversion"/>
  </si>
  <si>
    <t>고객 사내 정식 직원 채용으로 계약 해지(인력 파견)</t>
    <phoneticPr fontId="3" type="noConversion"/>
  </si>
  <si>
    <t>파견자</t>
    <phoneticPr fontId="3" type="noConversion"/>
  </si>
  <si>
    <t>글로벌 본사에서 지정한 업체에서 유지보수 진행 (팔로알토 방화벽)</t>
    <phoneticPr fontId="3" type="noConversion"/>
  </si>
  <si>
    <t>내부 감사에서 보안 문제 확인되어 해지 요청</t>
    <phoneticPr fontId="3" type="noConversion"/>
  </si>
  <si>
    <t>원민희</t>
    <phoneticPr fontId="3" type="noConversion"/>
  </si>
  <si>
    <t>케이지제로인</t>
  </si>
  <si>
    <t>오케이포스</t>
  </si>
  <si>
    <t>크리에이티브통</t>
  </si>
  <si>
    <t>커넥스</t>
  </si>
  <si>
    <t>티움바이오</t>
  </si>
  <si>
    <t>메리디안디엔아이</t>
  </si>
  <si>
    <t>크레도홀딩스</t>
  </si>
  <si>
    <t>토판포토마스크</t>
  </si>
  <si>
    <t>티에이케이정보시스템</t>
  </si>
  <si>
    <t>헤모네틱스코리아</t>
  </si>
  <si>
    <t>캘러웨이골프</t>
  </si>
  <si>
    <t>애드웨이즈한국</t>
  </si>
  <si>
    <t>아이티더블유</t>
  </si>
  <si>
    <t>가이엔텍</t>
  </si>
  <si>
    <t>컴퍼니에이알</t>
  </si>
  <si>
    <t>22년</t>
  </si>
  <si>
    <t>22년</t>
    <phoneticPr fontId="3" type="noConversion"/>
  </si>
  <si>
    <t>기존 KG제로인 기존 수행 업체와 비교 견적(인성정보) 후 금액 이슈로 계약 해지</t>
    <phoneticPr fontId="3" type="noConversion"/>
  </si>
  <si>
    <t>오상력(김준성)</t>
    <phoneticPr fontId="3" type="noConversion"/>
  </si>
  <si>
    <t>나이스그룹에 합병 후 금액 이슈로 계약 해지</t>
    <phoneticPr fontId="3" type="noConversion"/>
  </si>
  <si>
    <t>김지운</t>
    <phoneticPr fontId="3" type="noConversion"/>
  </si>
  <si>
    <t>장시간 재계약 미 실행으로 인한 계약종료 (코로나로인한 재정악화)</t>
    <phoneticPr fontId="3" type="noConversion"/>
  </si>
  <si>
    <t>오상력</t>
  </si>
  <si>
    <t>고객사 오라클 DB 유지보수 계약 해지</t>
    <phoneticPr fontId="3" type="noConversion"/>
  </si>
  <si>
    <t xml:space="preserve">	
전산직원 채용 및 경영악화로 인한 계약해지</t>
    <phoneticPr fontId="3" type="noConversion"/>
  </si>
  <si>
    <t>경영 악화로 인한 계약 종료</t>
    <phoneticPr fontId="3" type="noConversion"/>
  </si>
  <si>
    <t>이정남</t>
    <phoneticPr fontId="3" type="noConversion"/>
  </si>
  <si>
    <t>유지보수 서비스 불만족에 따른 IT 유지보수업체 교체 진행하게 되어 계약 해지를 요청함</t>
    <phoneticPr fontId="3" type="noConversion"/>
  </si>
  <si>
    <t>본사(이천공장) IT팀에서 관리하게 되어 계약해지</t>
    <phoneticPr fontId="3" type="noConversion"/>
  </si>
  <si>
    <t>본사(이천공장) IT팀에서 관리하게 되어 계약해지 (g클라우드 임대료)</t>
    <phoneticPr fontId="3" type="noConversion"/>
  </si>
  <si>
    <t xml:space="preserve">유지보수 주 사업자(티에이케이정보시스템) 통합 계약 수주 실패로 인한 업체 변경 </t>
    <phoneticPr fontId="3" type="noConversion"/>
  </si>
  <si>
    <t>코로나로 인해 직원수가 감소하고 장애처리를 본사에서 일괄처리하면서 유지보수 불필요하여 해지</t>
    <phoneticPr fontId="3" type="noConversion"/>
  </si>
  <si>
    <t>PC는 자체인력으로, 서버는 AS 건수가 적었기 때문에 유지보수 불필요하다고 생각해서 해지요청</t>
    <phoneticPr fontId="3" type="noConversion"/>
  </si>
  <si>
    <t>애드웨이즈코리아 폐업에 따른 유지보수 계약 해지</t>
    <phoneticPr fontId="3" type="noConversion"/>
  </si>
  <si>
    <t>회사 내부사정에 따른 유지보수 계약 해지</t>
    <phoneticPr fontId="3" type="noConversion"/>
  </si>
  <si>
    <t>아이티더블유 자체 인력으로 유지보수 가능하다 판단하여 계약 해지</t>
    <phoneticPr fontId="3" type="noConversion"/>
  </si>
  <si>
    <t>베이비유</t>
  </si>
  <si>
    <t>힐티코리아</t>
  </si>
  <si>
    <t>쿠콘</t>
  </si>
  <si>
    <t>강스템바이오텍</t>
  </si>
  <si>
    <t>이스트스프링</t>
  </si>
  <si>
    <t>21년</t>
  </si>
  <si>
    <t>21년</t>
    <phoneticPr fontId="3" type="noConversion"/>
  </si>
  <si>
    <t>김준성</t>
    <phoneticPr fontId="3" type="noConversion"/>
  </si>
  <si>
    <t>10월</t>
    <phoneticPr fontId="3" type="noConversion"/>
  </si>
  <si>
    <t>본사정책상 헤드헌팅회사에서 인력상주 필요</t>
    <phoneticPr fontId="3" type="noConversion"/>
  </si>
  <si>
    <t>IT 담당자 채용으로 인한 유지보수 계약 종료</t>
    <phoneticPr fontId="3" type="noConversion"/>
  </si>
  <si>
    <t>6월 IT직원 3명 모두 퇴사, 새로운 팀장 입사 후 기존 알고 있던 유지보수 업체로 변경</t>
    <phoneticPr fontId="3" type="noConversion"/>
  </si>
  <si>
    <t>확인불가(해지 사유 미기재)</t>
    <phoneticPr fontId="3" type="noConversion"/>
  </si>
  <si>
    <t>2025년</t>
    <phoneticPr fontId="3" type="noConversion"/>
  </si>
  <si>
    <t>2024년</t>
    <phoneticPr fontId="3" type="noConversion"/>
  </si>
  <si>
    <t>2023년</t>
    <phoneticPr fontId="3" type="noConversion"/>
  </si>
  <si>
    <t>2022년</t>
    <phoneticPr fontId="3" type="noConversion"/>
  </si>
  <si>
    <t>2021년</t>
    <phoneticPr fontId="3" type="noConversion"/>
  </si>
  <si>
    <t>행 레이블</t>
  </si>
  <si>
    <t>23년</t>
  </si>
  <si>
    <t>24년</t>
  </si>
  <si>
    <t>총합계</t>
  </si>
  <si>
    <t>합계 : 월 이익</t>
  </si>
  <si>
    <t>열 레이블</t>
  </si>
  <si>
    <t>영업팀 임현섭</t>
  </si>
  <si>
    <t>기술1팀(제외)</t>
  </si>
  <si>
    <t>기술1팀(제외)</t>
    <phoneticPr fontId="3" type="noConversion"/>
  </si>
  <si>
    <t>한국마즈제외23.03</t>
    <phoneticPr fontId="3" type="noConversion"/>
  </si>
  <si>
    <t>유빈스 제외.23.01</t>
    <phoneticPr fontId="3" type="noConversion"/>
  </si>
  <si>
    <t>피에스케이제외 22.12</t>
    <phoneticPr fontId="3" type="noConversion"/>
  </si>
  <si>
    <t>유지보수 비용 3개월 이상 체납(1년 이상 중복 발생), NAS 복구비용 200만원 미지급</t>
    <phoneticPr fontId="3" type="noConversion"/>
  </si>
  <si>
    <t>한국요꼬가와전기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</si>
</sst>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-;[Red]\-#,##0_-;\-_-"/>
    <numFmt numFmtId="177" formatCode="yyyy/mm/dd;@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689B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 indent="1"/>
    </xf>
    <xf numFmtId="176" fontId="2" fillId="0" borderId="1" xfId="1" applyNumberFormat="1" applyFont="1" applyFill="1" applyBorder="1" applyAlignment="1">
      <alignment vertical="center"/>
    </xf>
    <xf numFmtId="176" fontId="2" fillId="0" borderId="1" xfId="1" applyNumberFormat="1" applyFont="1" applyFill="1" applyBorder="1" applyAlignment="1">
      <alignment horizontal="left" vertical="center" indent="1"/>
    </xf>
    <xf numFmtId="176" fontId="4" fillId="0" borderId="1" xfId="0" applyNumberFormat="1" applyFont="1" applyBorder="1" applyAlignment="1">
      <alignment horizontal="left" vertical="center" wrapText="1"/>
    </xf>
    <xf numFmtId="176" fontId="2" fillId="0" borderId="0" xfId="0" applyNumberFormat="1" applyFont="1">
      <alignment vertical="center"/>
    </xf>
    <xf numFmtId="176" fontId="2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1" xfId="1" applyNumberFormat="1" applyFont="1" applyFill="1" applyBorder="1">
      <alignment vertical="center"/>
    </xf>
    <xf numFmtId="176" fontId="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176" fontId="2" fillId="2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left" vertical="center" indent="1"/>
    </xf>
    <xf numFmtId="0" fontId="0" fillId="0" borderId="1" xfId="0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left" vertical="center" indent="1"/>
    </xf>
    <xf numFmtId="176" fontId="2" fillId="4" borderId="1" xfId="1" applyNumberFormat="1" applyFont="1" applyFill="1" applyBorder="1" applyAlignment="1">
      <alignment vertical="center"/>
    </xf>
    <xf numFmtId="176" fontId="2" fillId="4" borderId="1" xfId="1" applyNumberFormat="1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76" fontId="0" fillId="0" borderId="0" xfId="0" applyNumberFormat="1" applyAlignment="1">
      <alignment horizontal="center" vertical="center"/>
    </xf>
    <xf numFmtId="176" fontId="0" fillId="0" borderId="0" xfId="1" applyNumberFormat="1" applyFont="1">
      <alignment vertical="center"/>
    </xf>
    <xf numFmtId="176" fontId="0" fillId="0" borderId="0" xfId="1" applyNumberFormat="1" applyFont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2" fillId="4" borderId="0" xfId="0" applyNumberFormat="1" applyFont="1" applyFill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0" borderId="3" xfId="1" applyNumberFormat="1" applyFont="1" applyBorder="1">
      <alignment vertical="center"/>
    </xf>
    <xf numFmtId="176" fontId="0" fillId="0" borderId="4" xfId="0" applyNumberFormat="1" applyBorder="1">
      <alignment vertical="center"/>
    </xf>
    <xf numFmtId="176" fontId="0" fillId="0" borderId="4" xfId="1" applyNumberFormat="1" applyFont="1" applyBorder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6" fontId="0" fillId="4" borderId="1" xfId="0" applyNumberFormat="1" applyFill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한미" refreshedDate="46048.570692592592" createdVersion="8" refreshedVersion="8" minRefreshableVersion="3" recordCount="63" xr:uid="{9B614D73-3B57-409B-BF07-FBC4EE6637DF}">
  <cacheSource type="worksheet">
    <worksheetSource ref="A1:I64" sheet="Sheet1"/>
  </cacheSource>
  <cacheFields count="9">
    <cacheField name="구분" numFmtId="176">
      <sharedItems/>
    </cacheField>
    <cacheField name="연도" numFmtId="176">
      <sharedItems count="5">
        <s v="25년"/>
        <s v="24년"/>
        <s v="23년"/>
        <s v="22년"/>
        <s v="21년"/>
      </sharedItems>
    </cacheField>
    <cacheField name="월" numFmtId="0">
      <sharedItems/>
    </cacheField>
    <cacheField name="업체명" numFmtId="176">
      <sharedItems/>
    </cacheField>
    <cacheField name="월 계약" numFmtId="176">
      <sharedItems containsSemiMixedTypes="0" containsString="0" containsNumber="1" containsInteger="1" minValue="-37741660" maxValue="-50000"/>
    </cacheField>
    <cacheField name="월 외주" numFmtId="176">
      <sharedItems containsString="0" containsBlank="1" containsNumber="1" containsInteger="1" minValue="-36866667" maxValue="0"/>
    </cacheField>
    <cacheField name="월 이익" numFmtId="176">
      <sharedItems containsSemiMixedTypes="0" containsString="0" containsNumber="1" containsInteger="1" minValue="-28612500" maxValue="-50000"/>
    </cacheField>
    <cacheField name="부서" numFmtId="176">
      <sharedItems count="8">
        <s v="기술1팀"/>
        <s v="기술2팀"/>
        <s v="영업팀 임현섭"/>
        <s v="기술1팀(제외)"/>
        <s v="오상력"/>
        <s v="기술3팀" u="1"/>
        <s v="영업1팀 오상력" u="1"/>
        <s v="영업1팀 임현섭" u="1"/>
      </sharedItems>
    </cacheField>
    <cacheField name="비고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s v="해지"/>
    <x v="0"/>
    <s v="1월"/>
    <s v="생명윤리/와플원"/>
    <n v="-450000"/>
    <n v="0"/>
    <n v="-450000"/>
    <x v="0"/>
    <s v="생명윤리가 상주근무로 변경되면서 유지보수를 상주엔지니어가 진행하는 것으로 변경"/>
  </r>
  <r>
    <s v="해지"/>
    <x v="0"/>
    <s v="1월"/>
    <s v="케이티아이에스"/>
    <n v="-7100000"/>
    <n v="-6800000"/>
    <n v="-300000"/>
    <x v="1"/>
    <s v="수행업체인  ktis와 kt간 프로젝트 종료로 계약 해지"/>
  </r>
  <r>
    <s v="해지"/>
    <x v="0"/>
    <s v="2월"/>
    <s v="분당러스크재활병원"/>
    <n v="-350000"/>
    <m/>
    <n v="-350000"/>
    <x v="0"/>
    <s v="대법원의 명도재판 판결 이후, 임대인의 사적인 조치로 인해 환자 전용 엘리베이터의 강제 운행 중단이 발생 등 피해가 발생하여 2025년 3월21일부로 병원 운영을 종료하여 해지 진행"/>
  </r>
  <r>
    <s v="해지"/>
    <x v="0"/>
    <s v="2월"/>
    <s v="제냐코리아"/>
    <n v="-3000000"/>
    <m/>
    <n v="-3000000"/>
    <x v="0"/>
    <s v="해외IT에서 한국지사 IT관리를 직접 수행 하기로 하여 해지(월4회 종일 상주)"/>
  </r>
  <r>
    <s v="해지"/>
    <x v="0"/>
    <s v="4월"/>
    <s v="포어스딜라이트"/>
    <n v="-1300000"/>
    <m/>
    <n v="-1300000"/>
    <x v="1"/>
    <s v="업체변경으로 인한 해지"/>
  </r>
  <r>
    <s v="해지"/>
    <x v="0"/>
    <s v="5월"/>
    <s v="스미토모전공"/>
    <n v="-300000"/>
    <m/>
    <n v="-300000"/>
    <x v="0"/>
    <s v="본사 정책변경( IT 유지보수 업체금지) 및 대상장비 미사용에 따라 해지"/>
  </r>
  <r>
    <s v="해지"/>
    <x v="0"/>
    <s v="6월"/>
    <s v="비전스튜디오"/>
    <n v="-600000"/>
    <n v="-480000"/>
    <n v="-120000"/>
    <x v="2"/>
    <s v="사무실 이전하며 전산실 없애면서 계약 해지"/>
  </r>
  <r>
    <s v="해지"/>
    <x v="0"/>
    <s v="6월"/>
    <s v="아이엠씨디코리아"/>
    <n v="-1600000"/>
    <m/>
    <n v="-1600000"/>
    <x v="0"/>
    <s v="해외 본사 IT 담당자 요청으로 업체 변경 (월4회 반일 상주)"/>
  </r>
  <r>
    <s v="해지"/>
    <x v="0"/>
    <s v="8월"/>
    <s v="하이네켄"/>
    <n v="-1000000"/>
    <m/>
    <n v="-1000000"/>
    <x v="0"/>
    <s v="내부 비용 절감을 위한 고정비용 조정에 따른 해지 (월4회 반일 상주)"/>
  </r>
  <r>
    <s v="해지"/>
    <x v="0"/>
    <s v="7월"/>
    <s v="포어스딜라이트"/>
    <n v="-800000"/>
    <m/>
    <n v="-800000"/>
    <x v="1"/>
    <s v="쉰들러엘리베이터 서버 클라우드환경으로 전환에 따른 해지"/>
  </r>
  <r>
    <s v="해지"/>
    <x v="0"/>
    <s v="11월"/>
    <s v="한길더블류아이티"/>
    <n v="-600000"/>
    <m/>
    <n v="-600000"/>
    <x v="1"/>
    <s v="아덴텍코리아 폐업으로 해지"/>
  </r>
  <r>
    <s v="해지"/>
    <x v="0"/>
    <s v="11월"/>
    <s v="한국공간데이터"/>
    <n v="-200000"/>
    <m/>
    <n v="-200000"/>
    <x v="1"/>
    <s v="인터넷회선 변경 이후 장애 발생하지않아, 방화벽 관리 필요성 없어짐에 따라 해지"/>
  </r>
  <r>
    <s v="해지"/>
    <x v="0"/>
    <s v="12월"/>
    <s v="에이치씨코퍼레이션"/>
    <n v="-1960000"/>
    <m/>
    <n v="-1960000"/>
    <x v="1"/>
    <s v="SK/GPI서버/고객사 영업담당자 변경으로 인한 하도급 수행업체 변경"/>
  </r>
  <r>
    <s v="해지"/>
    <x v="0"/>
    <s v="12월"/>
    <s v="에이치씨코퍼레이션"/>
    <n v="-1600000"/>
    <m/>
    <n v="-1600000"/>
    <x v="1"/>
    <s v="_x000a_SK/GPI서버/고객사 영업담당자 변경으로 인한 하도급 수행업체 변경"/>
  </r>
  <r>
    <s v="해지"/>
    <x v="0"/>
    <s v="12월"/>
    <s v="롯데이노베이트"/>
    <n v="-16969100"/>
    <n v="-13291500"/>
    <n v="-3677600"/>
    <x v="1"/>
    <s v="KG/기존 영업담당자 변경(오상력이사 퇴사)으로 인한 고객사 지정 수행사로 변경"/>
  </r>
  <r>
    <s v="해지"/>
    <x v="0"/>
    <s v="12월"/>
    <s v="아이센트"/>
    <n v="-2740000"/>
    <n v="-750000"/>
    <n v="-1990000"/>
    <x v="1"/>
    <s v="KG/기존 영업담당자 변경(오상력이사 퇴사)으로 인한 고객사 지정 수행사로 변경"/>
  </r>
  <r>
    <s v="해지"/>
    <x v="0"/>
    <s v="11월"/>
    <s v="애플씨"/>
    <n v="-200000"/>
    <n v="-133333"/>
    <n v="-66667"/>
    <x v="2"/>
    <s v="무신사 계약 해지요청으로 인한 해지(케이씨에프 년 일시 청구 160만)_x000a_"/>
  </r>
  <r>
    <s v="해지"/>
    <x v="0"/>
    <s v="12월"/>
    <s v="그룹에이트"/>
    <n v="-350000"/>
    <m/>
    <n v="-350000"/>
    <x v="0"/>
    <s v="경영악화로 인한 해지"/>
  </r>
  <r>
    <s v="해지"/>
    <x v="1"/>
    <s v="1월"/>
    <s v="정진특허법인&amp;지식재산전력연구소"/>
    <n v="-300000"/>
    <n v="0"/>
    <n v="-300000"/>
    <x v="0"/>
    <s v="경영악화로 인한 해지"/>
  </r>
  <r>
    <s v="해지"/>
    <x v="1"/>
    <s v="4월"/>
    <s v="아이아크건축사무소"/>
    <n v="-300000"/>
    <n v="0"/>
    <n v="-300000"/>
    <x v="0"/>
    <s v="폐업으로 인한 해지"/>
  </r>
  <r>
    <s v="해지"/>
    <x v="1"/>
    <s v="3월"/>
    <s v="한국마즈"/>
    <n v="-1200000"/>
    <n v="0"/>
    <n v="-1200000"/>
    <x v="1"/>
    <s v="내부 직원 채용"/>
  </r>
  <r>
    <s v="해지"/>
    <x v="1"/>
    <s v="5월"/>
    <s v="나이츠넷"/>
    <n v="-1350000"/>
    <m/>
    <n v="-1350000"/>
    <x v="1"/>
    <s v="지속적 미수 발생으로 포어스 딜라이트와 계약 예정(7월 중 재계약)"/>
  </r>
  <r>
    <s v="해지"/>
    <x v="1"/>
    <s v="6월"/>
    <s v="소비코"/>
    <n v="-200000"/>
    <n v="0"/>
    <n v="-200000"/>
    <x v="0"/>
    <s v="방배동 사무실 철수로 인한 유지보수 계약 해지"/>
  </r>
  <r>
    <s v="해지"/>
    <x v="1"/>
    <s v="8월"/>
    <s v="블랙우드리뉴어블스"/>
    <n v="-400000"/>
    <m/>
    <n v="-400000"/>
    <x v="1"/>
    <s v="업체 합병 및 자금난으로 인해 계약 해지"/>
  </r>
  <r>
    <s v="해지"/>
    <x v="1"/>
    <s v="11월"/>
    <s v="에스아이지콤비블럭"/>
    <n v="-150000"/>
    <m/>
    <n v="-150000"/>
    <x v="0"/>
    <s v="해외본사에서 IT 원격으로 업무 가능하다고 하여 해지"/>
  </r>
  <r>
    <s v="해지"/>
    <x v="1"/>
    <s v="12월"/>
    <s v="애플씨"/>
    <n v="-250000"/>
    <n v="-66667"/>
    <n v="-183333"/>
    <x v="2"/>
    <s v="무신하 홍대테라스 지점 사업철수로 해지 요청(자이젤 방화벽)"/>
  </r>
  <r>
    <s v="해지"/>
    <x v="1"/>
    <s v="12월"/>
    <s v="반포사회복지관"/>
    <n v="-460000"/>
    <m/>
    <n v="-460000"/>
    <x v="0"/>
    <s v="반포사회복지관 계열 일괄 계약종료(반포,사랑의어린이집,서초열린세상,은빛마을("/>
  </r>
  <r>
    <s v="해지"/>
    <x v="1"/>
    <s v="12월"/>
    <s v="공차"/>
    <n v="-3600000"/>
    <m/>
    <n v="-3600000"/>
    <x v="0"/>
    <s v="상주 유지보수계약 종료 (주5일 반일상주)"/>
  </r>
  <r>
    <s v="해지"/>
    <x v="2"/>
    <s v="1월"/>
    <s v="젠지이스포츠글로벌아카데미"/>
    <n v="-500000"/>
    <n v="0"/>
    <n v="-500000"/>
    <x v="0"/>
    <s v="본사 건물은 유지보수 계약 유지하나, 아카데미 건물의 네트워크 및 방화벽 장비는 불필요하게 되어 유지보수 해지"/>
  </r>
  <r>
    <s v="해지"/>
    <x v="2"/>
    <s v="1월"/>
    <s v="디자인코리아"/>
    <n v="-150000"/>
    <n v="0"/>
    <n v="-150000"/>
    <x v="0"/>
    <s v="데스크탑 17대 자체 관리 예정으로 해지 요청"/>
  </r>
  <r>
    <s v="해지"/>
    <x v="2"/>
    <s v="1월"/>
    <s v="유빈스"/>
    <n v="-28612500"/>
    <n v="0"/>
    <n v="-28612500"/>
    <x v="3"/>
    <s v="계약기간이 종료됨에 따라 해지"/>
  </r>
  <r>
    <s v="해지"/>
    <x v="2"/>
    <s v="3월"/>
    <s v="한국마즈"/>
    <n v="-5416000"/>
    <n v="0"/>
    <n v="-5416000"/>
    <x v="3"/>
    <s v="고객 사내 정식 직원 채용으로 계약 해지(인력 파견)"/>
  </r>
  <r>
    <s v="해지"/>
    <x v="2"/>
    <s v="4월"/>
    <s v="쿠도에셋파트너스"/>
    <n v="-50000"/>
    <n v="0"/>
    <n v="-50000"/>
    <x v="0"/>
    <s v="인원 감축으로 인해 자체 유지보수 진행"/>
  </r>
  <r>
    <s v="해지"/>
    <x v="2"/>
    <s v="5월"/>
    <s v="한국요꼬가와전지"/>
    <n v="-1650000"/>
    <n v="-1000000"/>
    <n v="-650000"/>
    <x v="0"/>
    <s v="글로벌 본사에서 지정한 업체에서 유지보수 진행 (팔로알토 방화벽)"/>
  </r>
  <r>
    <s v="해지"/>
    <x v="2"/>
    <s v="6월"/>
    <s v="마이스리치"/>
    <n v="-100000"/>
    <n v="0"/>
    <n v="-100000"/>
    <x v="0"/>
    <s v="내부적으로 자체 유지보수가 가능하다고 판단하여 해지 요청"/>
  </r>
  <r>
    <s v="해지"/>
    <x v="2"/>
    <s v="6월"/>
    <s v="안다자산운용"/>
    <n v="-1400000"/>
    <n v="-133333"/>
    <n v="-1266667"/>
    <x v="0"/>
    <s v="내부 감사에서 보안 문제 확인되어 해지 요청"/>
  </r>
  <r>
    <s v="해지"/>
    <x v="2"/>
    <s v="7월"/>
    <s v="에이비디브이"/>
    <n v="-200000"/>
    <n v="0"/>
    <n v="-200000"/>
    <x v="0"/>
    <s v="자체 유지보수 진행으로 계약 해지"/>
  </r>
  <r>
    <s v="해지"/>
    <x v="2"/>
    <s v="12월"/>
    <s v="정의기억연대"/>
    <n v="-300000"/>
    <n v="0"/>
    <n v="-300000"/>
    <x v="0"/>
    <s v="NAS에서 클라우드로 전환하여 유지보수 계약 해지"/>
  </r>
  <r>
    <s v="해지"/>
    <x v="2"/>
    <s v="12월"/>
    <s v="제이씨웍스"/>
    <n v="-14900000"/>
    <n v="-7757584"/>
    <n v="-7142416"/>
    <x v="1"/>
    <s v="1년 평균계산) 고객사의 기존 유지보수 대상인 학교 홈페이지 웹호스팅 서비스 종료(24년 2월말)로 인해 주사업자인 니트로아이가 사업을 접게 되어 입찰참여가 불가 하게 됨."/>
  </r>
  <r>
    <s v="해지"/>
    <x v="2"/>
    <s v="12월"/>
    <s v="커넥스"/>
    <n v="-37741660"/>
    <n v="-36866667"/>
    <n v="-874993"/>
    <x v="1"/>
    <s v="1년 평균계산) 계약구조 변경"/>
  </r>
  <r>
    <s v="해지"/>
    <x v="3"/>
    <s v="2월"/>
    <s v="케이지제로인"/>
    <n v="-500000"/>
    <m/>
    <n v="-500000"/>
    <x v="1"/>
    <s v="기존 KG제로인 기존 수행 업체와 비교 견적(인성정보) 후 금액 이슈로 계약 해지"/>
  </r>
  <r>
    <s v="해지"/>
    <x v="3"/>
    <s v="2월"/>
    <s v="오케이포스"/>
    <n v="-4342500"/>
    <n v="-3005000"/>
    <n v="-1337500"/>
    <x v="1"/>
    <s v="나이스그룹에 합병 후 금액 이슈로 계약 해지"/>
  </r>
  <r>
    <s v="해지"/>
    <x v="3"/>
    <s v="8월"/>
    <s v="크리에이티브통"/>
    <n v="-400000"/>
    <m/>
    <n v="-400000"/>
    <x v="0"/>
    <s v="장시간 재계약 미 실행으로 인한 계약종료 (코로나로인한 재정악화)"/>
  </r>
  <r>
    <s v="해지"/>
    <x v="3"/>
    <s v="5월"/>
    <s v="커넥스"/>
    <n v="-200000"/>
    <m/>
    <n v="-200000"/>
    <x v="4"/>
    <s v="고객사 오라클 DB 유지보수 계약 해지"/>
  </r>
  <r>
    <s v="해지"/>
    <x v="3"/>
    <s v="5월"/>
    <s v="티움바이오"/>
    <n v="-550000"/>
    <m/>
    <n v="-550000"/>
    <x v="0"/>
    <s v="_x0009__x000a_전산직원 채용 및 경영악화로 인한 계약해지"/>
  </r>
  <r>
    <s v="해지"/>
    <x v="3"/>
    <s v="5월"/>
    <s v="메리디안디엔아이"/>
    <n v="-200000"/>
    <n v="-100000"/>
    <n v="-100000"/>
    <x v="2"/>
    <s v="경영 악화로 인한 계약 종료"/>
  </r>
  <r>
    <s v="해지"/>
    <x v="3"/>
    <s v="7월"/>
    <s v="크레도홀딩스"/>
    <n v="-400000"/>
    <m/>
    <n v="-400000"/>
    <x v="0"/>
    <s v="유지보수 서비스 불만족에 따른 IT 유지보수업체 교체 진행하게 되어 계약 해지를 요청함"/>
  </r>
  <r>
    <s v="해지"/>
    <x v="3"/>
    <s v="7월"/>
    <s v="토판포토마스크"/>
    <n v="-250000"/>
    <m/>
    <n v="-250000"/>
    <x v="0"/>
    <s v="본사(이천공장) IT팀에서 관리하게 되어 계약해지"/>
  </r>
  <r>
    <s v="해지"/>
    <x v="3"/>
    <s v="7월"/>
    <s v="토판포토마스크"/>
    <n v="-540000"/>
    <n v="-234700"/>
    <n v="-305300"/>
    <x v="2"/>
    <s v="본사(이천공장) IT팀에서 관리하게 되어 계약해지 (g클라우드 임대료)"/>
  </r>
  <r>
    <s v="해지"/>
    <x v="3"/>
    <s v="7월"/>
    <s v="티에이케이정보시스템"/>
    <n v="-748000"/>
    <n v="-500000"/>
    <n v="-248000"/>
    <x v="4"/>
    <s v="유지보수 주 사업자(티에이케이정보시스템) 통합 계약 수주 실패로 인한 업체 변경 "/>
  </r>
  <r>
    <s v="해지"/>
    <x v="3"/>
    <s v="8월"/>
    <s v="헤모네틱스코리아"/>
    <n v="-100000"/>
    <m/>
    <n v="-100000"/>
    <x v="0"/>
    <s v="코로나로 인해 직원수가 감소하고 장애처리를 본사에서 일괄처리하면서 유지보수 불필요하여 해지"/>
  </r>
  <r>
    <s v="해지"/>
    <x v="3"/>
    <s v="8월"/>
    <s v="캘러웨이골프"/>
    <n v="-500000"/>
    <m/>
    <n v="-500000"/>
    <x v="0"/>
    <s v="PC는 자체인력으로, 서버는 AS 건수가 적었기 때문에 유지보수 불필요하다고 생각해서 해지요청"/>
  </r>
  <r>
    <s v="해지"/>
    <x v="3"/>
    <s v="11월"/>
    <s v="애드웨이즈한국"/>
    <n v="-240000"/>
    <m/>
    <n v="-240000"/>
    <x v="0"/>
    <s v="애드웨이즈코리아 폐업에 따른 유지보수 계약 해지"/>
  </r>
  <r>
    <s v="해지"/>
    <x v="3"/>
    <s v="10월"/>
    <s v="아이티더블유"/>
    <n v="-500000"/>
    <m/>
    <n v="-500000"/>
    <x v="0"/>
    <s v="아이티더블유 자체 인력으로 유지보수 가능하다 판단하여 계약 해지"/>
  </r>
  <r>
    <s v="해지"/>
    <x v="3"/>
    <s v="10월"/>
    <s v="가이엔텍"/>
    <n v="-500000"/>
    <m/>
    <n v="-500000"/>
    <x v="1"/>
    <s v="계약기간이 종료됨에 따라 해지"/>
  </r>
  <r>
    <s v="해지"/>
    <x v="3"/>
    <s v="12월"/>
    <s v="컴퍼니에이알"/>
    <n v="-300000"/>
    <m/>
    <n v="-300000"/>
    <x v="0"/>
    <s v="회사 내부사정에 따른 유지보수 계약 해지"/>
  </r>
  <r>
    <s v="해지"/>
    <x v="4"/>
    <s v="12월"/>
    <s v="베이비유"/>
    <n v="-300000"/>
    <n v="0"/>
    <n v="-300000"/>
    <x v="0"/>
    <s v="유지보수 비용 3개월 이상 미체납(1년 이상 중복 발생), NAS 복구비용 200만원 미지급"/>
  </r>
  <r>
    <s v="해지"/>
    <x v="4"/>
    <s v="12월"/>
    <s v="힐티코리아"/>
    <n v="-2100000"/>
    <n v="0"/>
    <n v="-2100000"/>
    <x v="0"/>
    <s v="본사정책상 헤드헌팅회사에서 인력상주 필요"/>
  </r>
  <r>
    <s v="해지"/>
    <x v="4"/>
    <s v="1월"/>
    <s v="쿠콘"/>
    <n v="-3212550"/>
    <n v="-915000"/>
    <n v="-2297550"/>
    <x v="1"/>
    <s v="확인불가(해지 사유 미기재)"/>
  </r>
  <r>
    <s v="해지"/>
    <x v="4"/>
    <s v="1월"/>
    <s v="쿠콘"/>
    <n v="-1094000"/>
    <n v="0"/>
    <n v="-1094000"/>
    <x v="1"/>
    <s v="확인불가(해지 사유 미기재)"/>
  </r>
  <r>
    <s v="해지"/>
    <x v="4"/>
    <s v="5월"/>
    <s v="강스템바이오텍"/>
    <n v="-700000"/>
    <n v="0"/>
    <n v="-700000"/>
    <x v="0"/>
    <s v="IT 담당자 채용으로 인한 유지보수 계약 종료"/>
  </r>
  <r>
    <s v="해지"/>
    <x v="4"/>
    <s v="5월"/>
    <s v="강스템바이오텍"/>
    <n v="-90000"/>
    <n v="0"/>
    <n v="-90000"/>
    <x v="0"/>
    <s v="IT 담당자 채용으로 인한 유지보수 계약 종료"/>
  </r>
  <r>
    <s v="해지"/>
    <x v="4"/>
    <s v="7월"/>
    <s v="이스트스프링"/>
    <n v="-500000"/>
    <n v="0"/>
    <n v="-500000"/>
    <x v="0"/>
    <s v="6월 IT직원 3명 모두 퇴사, 새로운 팀장 입사 후 기존 알고 있던 유지보수 업체로 변경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2FFC0-508C-4905-BD12-430B300B05BD}" name="피벗 테이블1" cacheId="4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G10" firstHeaderRow="1" firstDataRow="2" firstDataCol="1"/>
  <pivotFields count="9">
    <pivotField showAll="0"/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numFmtId="176" showAll="0"/>
    <pivotField showAll="0"/>
    <pivotField dataField="1" numFmtId="176" showAll="0"/>
    <pivotField axis="axisRow" showAll="0">
      <items count="9">
        <item x="0"/>
        <item x="1"/>
        <item m="1" x="5"/>
        <item m="1" x="6"/>
        <item m="1" x="7"/>
        <item x="2"/>
        <item x="4"/>
        <item x="3"/>
        <item t="default"/>
      </items>
    </pivotField>
    <pivotField showAll="0"/>
  </pivotFields>
  <rowFields count="1">
    <field x="7"/>
  </rowFields>
  <rowItems count="6">
    <i>
      <x/>
    </i>
    <i>
      <x v="1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합계 : 월 이익" fld="6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353E-2291-452E-82E2-6B670942ABD5}">
  <dimension ref="A3:G10"/>
  <sheetViews>
    <sheetView workbookViewId="0">
      <selection activeCell="C32" sqref="C32"/>
    </sheetView>
  </sheetViews>
  <sheetFormatPr defaultRowHeight="16.5" x14ac:dyDescent="0.3"/>
  <cols>
    <col min="1" max="1" width="13.875" bestFit="1" customWidth="1"/>
    <col min="2" max="3" width="12.375" bestFit="1" customWidth="1"/>
    <col min="4" max="4" width="13.625" bestFit="1" customWidth="1"/>
    <col min="5" max="5" width="12.375" bestFit="1" customWidth="1"/>
    <col min="6" max="8" width="13.625" bestFit="1" customWidth="1"/>
  </cols>
  <sheetData>
    <row r="3" spans="1:7" x14ac:dyDescent="0.3">
      <c r="A3" s="44" t="s">
        <v>187</v>
      </c>
      <c r="B3" s="44" t="s">
        <v>188</v>
      </c>
    </row>
    <row r="4" spans="1:7" x14ac:dyDescent="0.3">
      <c r="A4" s="44" t="s">
        <v>183</v>
      </c>
      <c r="B4" t="s">
        <v>170</v>
      </c>
      <c r="C4" t="s">
        <v>144</v>
      </c>
      <c r="D4" t="s">
        <v>184</v>
      </c>
      <c r="E4" t="s">
        <v>185</v>
      </c>
      <c r="F4" t="s">
        <v>14</v>
      </c>
      <c r="G4" t="s">
        <v>186</v>
      </c>
    </row>
    <row r="5" spans="1:7" x14ac:dyDescent="0.3">
      <c r="A5" s="24" t="s">
        <v>17</v>
      </c>
      <c r="B5" s="45">
        <v>-3690000</v>
      </c>
      <c r="C5" s="45">
        <v>-3240000</v>
      </c>
      <c r="D5" s="45">
        <v>-3216667</v>
      </c>
      <c r="E5" s="45">
        <v>-5010000</v>
      </c>
      <c r="F5" s="45">
        <v>-7050000</v>
      </c>
      <c r="G5" s="45">
        <v>-22206667</v>
      </c>
    </row>
    <row r="6" spans="1:7" x14ac:dyDescent="0.3">
      <c r="A6" s="24" t="s">
        <v>22</v>
      </c>
      <c r="B6" s="45">
        <v>-3391550</v>
      </c>
      <c r="C6" s="45">
        <v>-2337500</v>
      </c>
      <c r="D6" s="45">
        <v>-8017409</v>
      </c>
      <c r="E6" s="45">
        <v>-2950000</v>
      </c>
      <c r="F6" s="45">
        <v>-12427600</v>
      </c>
      <c r="G6" s="45">
        <v>-29124059</v>
      </c>
    </row>
    <row r="7" spans="1:7" x14ac:dyDescent="0.3">
      <c r="A7" s="24" t="s">
        <v>189</v>
      </c>
      <c r="B7" s="45"/>
      <c r="C7" s="45">
        <v>-405300</v>
      </c>
      <c r="D7" s="45"/>
      <c r="E7" s="45">
        <v>-183333</v>
      </c>
      <c r="F7" s="45">
        <v>-186667</v>
      </c>
      <c r="G7" s="45">
        <v>-775300</v>
      </c>
    </row>
    <row r="8" spans="1:7" x14ac:dyDescent="0.3">
      <c r="A8" s="24" t="s">
        <v>151</v>
      </c>
      <c r="B8" s="45"/>
      <c r="C8" s="45">
        <v>-448000</v>
      </c>
      <c r="D8" s="45"/>
      <c r="E8" s="45"/>
      <c r="F8" s="45"/>
      <c r="G8" s="45">
        <v>-448000</v>
      </c>
    </row>
    <row r="9" spans="1:7" x14ac:dyDescent="0.3">
      <c r="A9" s="24" t="s">
        <v>190</v>
      </c>
      <c r="B9" s="45"/>
      <c r="C9" s="45"/>
      <c r="D9" s="45">
        <v>-34028500</v>
      </c>
      <c r="E9" s="45"/>
      <c r="F9" s="45"/>
      <c r="G9" s="45">
        <v>-34028500</v>
      </c>
    </row>
    <row r="10" spans="1:7" x14ac:dyDescent="0.3">
      <c r="A10" s="24" t="s">
        <v>186</v>
      </c>
      <c r="B10" s="45">
        <v>-7081550</v>
      </c>
      <c r="C10" s="45">
        <v>-6430800</v>
      </c>
      <c r="D10" s="45">
        <v>-45262576</v>
      </c>
      <c r="E10" s="45">
        <v>-8143333</v>
      </c>
      <c r="F10" s="45">
        <v>-19664267</v>
      </c>
      <c r="G10" s="45">
        <v>-86582526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A23A-79BA-4F4C-9778-F03FB4F583D9}">
  <dimension ref="A1:X76"/>
  <sheetViews>
    <sheetView tabSelected="1" zoomScale="85" zoomScaleNormal="85" workbookViewId="0">
      <pane ySplit="1" topLeftCell="A47" activePane="bottomLeft" state="frozen"/>
      <selection pane="bottomLeft" activeCell="M40" sqref="M40"/>
    </sheetView>
  </sheetViews>
  <sheetFormatPr defaultRowHeight="24" customHeight="1" x14ac:dyDescent="0.3"/>
  <cols>
    <col min="2" max="2" width="9" style="68"/>
    <col min="4" max="4" width="23.5" style="24" customWidth="1"/>
    <col min="5" max="6" width="11.875" customWidth="1"/>
    <col min="7" max="7" width="12.625" customWidth="1"/>
    <col min="8" max="8" width="16.375" customWidth="1"/>
    <col min="9" max="9" width="68.125" customWidth="1"/>
    <col min="10" max="10" width="3.25" customWidth="1"/>
    <col min="11" max="12" width="12.875" style="27" customWidth="1"/>
    <col min="13" max="13" width="12.625" style="18" bestFit="1" customWidth="1"/>
    <col min="14" max="14" width="11.25" customWidth="1"/>
    <col min="15" max="15" width="11.5" style="18" bestFit="1" customWidth="1"/>
    <col min="16" max="18" width="12.625" bestFit="1" customWidth="1"/>
    <col min="19" max="19" width="11.5" bestFit="1" customWidth="1"/>
    <col min="20" max="20" width="12.625" bestFit="1" customWidth="1"/>
    <col min="21" max="21" width="11.5" bestFit="1" customWidth="1"/>
  </cols>
  <sheetData>
    <row r="1" spans="1:15" ht="24" customHeight="1" x14ac:dyDescent="0.3">
      <c r="A1" s="1" t="s">
        <v>0</v>
      </c>
      <c r="B1" s="1" t="s">
        <v>1</v>
      </c>
      <c r="C1" s="1" t="s">
        <v>2</v>
      </c>
      <c r="D1" s="2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26" t="s">
        <v>9</v>
      </c>
      <c r="L1" s="26" t="s">
        <v>10</v>
      </c>
      <c r="M1" s="4" t="s">
        <v>11</v>
      </c>
      <c r="N1" s="4" t="s">
        <v>77</v>
      </c>
      <c r="O1" s="4" t="s">
        <v>12</v>
      </c>
    </row>
    <row r="2" spans="1:15" ht="24" customHeight="1" x14ac:dyDescent="0.3">
      <c r="A2" s="5" t="s">
        <v>13</v>
      </c>
      <c r="B2" s="6" t="s">
        <v>14</v>
      </c>
      <c r="C2" s="5" t="s">
        <v>15</v>
      </c>
      <c r="D2" s="6" t="s">
        <v>16</v>
      </c>
      <c r="E2" s="7">
        <v>-450000</v>
      </c>
      <c r="F2" s="7">
        <v>0</v>
      </c>
      <c r="G2" s="7">
        <v>-450000</v>
      </c>
      <c r="H2" s="8" t="s">
        <v>17</v>
      </c>
      <c r="I2" s="9" t="s">
        <v>18</v>
      </c>
      <c r="J2" s="10"/>
      <c r="K2" s="26">
        <v>45291</v>
      </c>
      <c r="L2" s="26">
        <v>45656</v>
      </c>
      <c r="M2" s="4">
        <f>DATEDIF(K2,L2,"m")+1</f>
        <v>12</v>
      </c>
      <c r="N2" s="4" t="s">
        <v>19</v>
      </c>
      <c r="O2" s="4" t="s">
        <v>20</v>
      </c>
    </row>
    <row r="3" spans="1:15" ht="24" customHeight="1" x14ac:dyDescent="0.3">
      <c r="A3" s="5" t="s">
        <v>13</v>
      </c>
      <c r="B3" s="6" t="s">
        <v>14</v>
      </c>
      <c r="C3" s="5" t="s">
        <v>15</v>
      </c>
      <c r="D3" s="6" t="s">
        <v>21</v>
      </c>
      <c r="E3" s="7">
        <v>-7100000</v>
      </c>
      <c r="F3" s="7">
        <v>-6800000</v>
      </c>
      <c r="G3" s="7">
        <v>-300000</v>
      </c>
      <c r="H3" s="8" t="s">
        <v>22</v>
      </c>
      <c r="I3" s="11" t="s">
        <v>23</v>
      </c>
      <c r="J3" s="10"/>
      <c r="K3" s="26">
        <v>45323</v>
      </c>
      <c r="L3" s="26">
        <v>45688</v>
      </c>
      <c r="M3" s="4">
        <f t="shared" ref="M3:M64" si="0">DATEDIF(K3,L3,"m")+1</f>
        <v>12</v>
      </c>
      <c r="N3" s="4" t="s">
        <v>24</v>
      </c>
      <c r="O3" s="4" t="s">
        <v>25</v>
      </c>
    </row>
    <row r="4" spans="1:15" ht="24" customHeight="1" x14ac:dyDescent="0.3">
      <c r="A4" s="5" t="s">
        <v>26</v>
      </c>
      <c r="B4" s="6" t="s">
        <v>27</v>
      </c>
      <c r="C4" s="5" t="s">
        <v>28</v>
      </c>
      <c r="D4" s="6" t="s">
        <v>29</v>
      </c>
      <c r="E4" s="7">
        <v>-350000</v>
      </c>
      <c r="F4" s="7"/>
      <c r="G4" s="7">
        <v>-350000</v>
      </c>
      <c r="H4" s="8" t="s">
        <v>30</v>
      </c>
      <c r="I4" s="12" t="s">
        <v>31</v>
      </c>
      <c r="J4" s="10"/>
      <c r="K4" s="26">
        <v>43330</v>
      </c>
      <c r="L4" s="26">
        <v>45705</v>
      </c>
      <c r="M4" s="4">
        <f t="shared" si="0"/>
        <v>78</v>
      </c>
      <c r="N4" s="4" t="s">
        <v>19</v>
      </c>
      <c r="O4" s="4" t="s">
        <v>32</v>
      </c>
    </row>
    <row r="5" spans="1:15" ht="24" customHeight="1" x14ac:dyDescent="0.3">
      <c r="A5" s="5" t="s">
        <v>13</v>
      </c>
      <c r="B5" s="6" t="s">
        <v>14</v>
      </c>
      <c r="C5" s="5" t="s">
        <v>28</v>
      </c>
      <c r="D5" s="6" t="s">
        <v>33</v>
      </c>
      <c r="E5" s="7">
        <v>-3000000</v>
      </c>
      <c r="F5" s="7"/>
      <c r="G5" s="7">
        <v>-3000000</v>
      </c>
      <c r="H5" s="8" t="s">
        <v>17</v>
      </c>
      <c r="I5" s="13" t="s">
        <v>34</v>
      </c>
      <c r="J5" s="10"/>
      <c r="K5" s="26">
        <v>45386</v>
      </c>
      <c r="L5" s="26">
        <v>45719</v>
      </c>
      <c r="M5" s="4">
        <f t="shared" si="0"/>
        <v>11</v>
      </c>
      <c r="N5" s="4" t="s">
        <v>19</v>
      </c>
      <c r="O5" s="4" t="s">
        <v>35</v>
      </c>
    </row>
    <row r="6" spans="1:15" ht="24" customHeight="1" x14ac:dyDescent="0.3">
      <c r="A6" s="5" t="s">
        <v>13</v>
      </c>
      <c r="B6" s="6" t="s">
        <v>14</v>
      </c>
      <c r="C6" s="5" t="s">
        <v>36</v>
      </c>
      <c r="D6" s="6" t="s">
        <v>37</v>
      </c>
      <c r="E6" s="7">
        <v>-1300000</v>
      </c>
      <c r="F6" s="7"/>
      <c r="G6" s="7">
        <v>-1300000</v>
      </c>
      <c r="H6" s="8" t="s">
        <v>22</v>
      </c>
      <c r="I6" s="11" t="s">
        <v>38</v>
      </c>
      <c r="J6" s="10"/>
      <c r="K6" s="26">
        <v>45413</v>
      </c>
      <c r="L6" s="26">
        <v>45777</v>
      </c>
      <c r="M6" s="4">
        <f t="shared" si="0"/>
        <v>12</v>
      </c>
      <c r="N6" s="4" t="s">
        <v>39</v>
      </c>
      <c r="O6" s="4" t="s">
        <v>40</v>
      </c>
    </row>
    <row r="7" spans="1:15" ht="24" customHeight="1" x14ac:dyDescent="0.3">
      <c r="A7" s="14" t="s">
        <v>26</v>
      </c>
      <c r="B7" s="6" t="s">
        <v>27</v>
      </c>
      <c r="C7" s="14" t="s">
        <v>41</v>
      </c>
      <c r="D7" s="6" t="s">
        <v>42</v>
      </c>
      <c r="E7" s="7">
        <v>-300000</v>
      </c>
      <c r="F7" s="7"/>
      <c r="G7" s="7">
        <v>-300000</v>
      </c>
      <c r="H7" s="8" t="s">
        <v>30</v>
      </c>
      <c r="I7" s="11" t="s">
        <v>43</v>
      </c>
      <c r="J7" s="15"/>
      <c r="K7" s="26">
        <v>44470</v>
      </c>
      <c r="L7" s="26">
        <v>45808</v>
      </c>
      <c r="M7" s="4">
        <f t="shared" si="0"/>
        <v>44</v>
      </c>
      <c r="N7" s="4" t="s">
        <v>19</v>
      </c>
      <c r="O7" s="4" t="s">
        <v>44</v>
      </c>
    </row>
    <row r="8" spans="1:15" ht="24" customHeight="1" x14ac:dyDescent="0.3">
      <c r="A8" s="14" t="s">
        <v>26</v>
      </c>
      <c r="B8" s="6" t="s">
        <v>27</v>
      </c>
      <c r="C8" s="14" t="s">
        <v>45</v>
      </c>
      <c r="D8" s="6" t="s">
        <v>46</v>
      </c>
      <c r="E8" s="7">
        <v>-600000</v>
      </c>
      <c r="F8" s="7">
        <v>-480000</v>
      </c>
      <c r="G8" s="7">
        <v>-120000</v>
      </c>
      <c r="H8" s="8" t="s">
        <v>47</v>
      </c>
      <c r="I8" s="11" t="s">
        <v>48</v>
      </c>
      <c r="J8" s="15"/>
      <c r="K8" s="26">
        <v>45292</v>
      </c>
      <c r="L8" s="26">
        <v>45838</v>
      </c>
      <c r="M8" s="4">
        <f t="shared" si="0"/>
        <v>18</v>
      </c>
      <c r="N8" s="4" t="s">
        <v>39</v>
      </c>
      <c r="O8" s="4" t="s">
        <v>25</v>
      </c>
    </row>
    <row r="9" spans="1:15" ht="24" customHeight="1" x14ac:dyDescent="0.3">
      <c r="A9" s="14" t="s">
        <v>26</v>
      </c>
      <c r="B9" s="6" t="s">
        <v>27</v>
      </c>
      <c r="C9" s="14" t="s">
        <v>45</v>
      </c>
      <c r="D9" s="6" t="s">
        <v>49</v>
      </c>
      <c r="E9" s="7">
        <v>-1600000</v>
      </c>
      <c r="F9" s="7"/>
      <c r="G9" s="7">
        <v>-1600000</v>
      </c>
      <c r="H9" s="8" t="s">
        <v>30</v>
      </c>
      <c r="I9" s="11" t="s">
        <v>50</v>
      </c>
      <c r="J9" s="15"/>
      <c r="K9" s="26">
        <v>45108</v>
      </c>
      <c r="L9" s="26">
        <v>45838</v>
      </c>
      <c r="M9" s="4">
        <f t="shared" si="0"/>
        <v>24</v>
      </c>
      <c r="N9" s="4" t="s">
        <v>19</v>
      </c>
      <c r="O9" s="4" t="s">
        <v>51</v>
      </c>
    </row>
    <row r="10" spans="1:15" ht="24" customHeight="1" x14ac:dyDescent="0.3">
      <c r="A10" s="5" t="s">
        <v>26</v>
      </c>
      <c r="B10" s="6" t="s">
        <v>27</v>
      </c>
      <c r="C10" s="5" t="s">
        <v>52</v>
      </c>
      <c r="D10" s="6" t="s">
        <v>53</v>
      </c>
      <c r="E10" s="7">
        <v>-1000000</v>
      </c>
      <c r="F10" s="7"/>
      <c r="G10" s="7">
        <v>-1000000</v>
      </c>
      <c r="H10" s="6" t="s">
        <v>30</v>
      </c>
      <c r="I10" s="16" t="s">
        <v>54</v>
      </c>
      <c r="J10" s="15"/>
      <c r="K10" s="26">
        <v>45261</v>
      </c>
      <c r="L10" s="26">
        <v>45900</v>
      </c>
      <c r="M10" s="4">
        <f t="shared" si="0"/>
        <v>21</v>
      </c>
      <c r="N10" s="4" t="s">
        <v>19</v>
      </c>
      <c r="O10" s="4" t="s">
        <v>55</v>
      </c>
    </row>
    <row r="11" spans="1:15" ht="24" customHeight="1" x14ac:dyDescent="0.3">
      <c r="A11" s="5" t="s">
        <v>26</v>
      </c>
      <c r="B11" s="6" t="s">
        <v>27</v>
      </c>
      <c r="C11" s="5" t="s">
        <v>56</v>
      </c>
      <c r="D11" s="6" t="s">
        <v>57</v>
      </c>
      <c r="E11" s="7">
        <v>-800000</v>
      </c>
      <c r="F11" s="7"/>
      <c r="G11" s="7">
        <v>-800000</v>
      </c>
      <c r="H11" s="6" t="s">
        <v>58</v>
      </c>
      <c r="I11" s="16" t="s">
        <v>59</v>
      </c>
      <c r="J11" s="15"/>
      <c r="K11" s="26">
        <v>45474</v>
      </c>
      <c r="L11" s="26">
        <v>45869</v>
      </c>
      <c r="M11" s="4">
        <f t="shared" si="0"/>
        <v>13</v>
      </c>
      <c r="N11" s="4" t="s">
        <v>39</v>
      </c>
      <c r="O11" s="4" t="s">
        <v>40</v>
      </c>
    </row>
    <row r="12" spans="1:15" ht="24" customHeight="1" x14ac:dyDescent="0.3">
      <c r="A12" s="5" t="s">
        <v>26</v>
      </c>
      <c r="B12" s="6" t="s">
        <v>27</v>
      </c>
      <c r="C12" s="5" t="s">
        <v>60</v>
      </c>
      <c r="D12" s="6" t="s">
        <v>61</v>
      </c>
      <c r="E12" s="7">
        <v>-600000</v>
      </c>
      <c r="F12" s="7"/>
      <c r="G12" s="7">
        <v>-600000</v>
      </c>
      <c r="H12" s="6" t="s">
        <v>58</v>
      </c>
      <c r="I12" s="16" t="s">
        <v>62</v>
      </c>
      <c r="J12" s="15"/>
      <c r="K12" s="26">
        <v>45673</v>
      </c>
      <c r="L12" s="26">
        <v>45991</v>
      </c>
      <c r="M12" s="4">
        <f t="shared" si="0"/>
        <v>11</v>
      </c>
      <c r="N12" s="4" t="s">
        <v>39</v>
      </c>
      <c r="O12" s="4" t="s">
        <v>40</v>
      </c>
    </row>
    <row r="13" spans="1:15" ht="24" customHeight="1" x14ac:dyDescent="0.3">
      <c r="A13" s="14" t="s">
        <v>26</v>
      </c>
      <c r="B13" s="6" t="s">
        <v>27</v>
      </c>
      <c r="C13" s="14" t="s">
        <v>60</v>
      </c>
      <c r="D13" s="6" t="s">
        <v>63</v>
      </c>
      <c r="E13" s="7">
        <v>-200000</v>
      </c>
      <c r="F13" s="7"/>
      <c r="G13" s="7">
        <v>-200000</v>
      </c>
      <c r="H13" s="8" t="s">
        <v>58</v>
      </c>
      <c r="I13" s="17" t="s">
        <v>64</v>
      </c>
      <c r="J13" s="15"/>
      <c r="K13" s="26">
        <v>45870</v>
      </c>
      <c r="L13" s="26">
        <v>45991</v>
      </c>
      <c r="M13" s="4">
        <f t="shared" si="0"/>
        <v>4</v>
      </c>
      <c r="N13" s="4" t="s">
        <v>39</v>
      </c>
      <c r="O13" s="4" t="s">
        <v>40</v>
      </c>
    </row>
    <row r="14" spans="1:15" ht="24" customHeight="1" x14ac:dyDescent="0.3">
      <c r="A14" s="14" t="s">
        <v>26</v>
      </c>
      <c r="B14" s="6" t="s">
        <v>27</v>
      </c>
      <c r="C14" s="14" t="s">
        <v>65</v>
      </c>
      <c r="D14" s="6" t="s">
        <v>66</v>
      </c>
      <c r="E14" s="7">
        <v>-1960000</v>
      </c>
      <c r="F14" s="7"/>
      <c r="G14" s="7">
        <v>-1960000</v>
      </c>
      <c r="H14" s="8" t="s">
        <v>58</v>
      </c>
      <c r="I14" s="11" t="s">
        <v>67</v>
      </c>
      <c r="J14" s="15"/>
      <c r="K14" s="26">
        <v>45474</v>
      </c>
      <c r="L14" s="26">
        <v>46022</v>
      </c>
      <c r="M14" s="4">
        <f t="shared" si="0"/>
        <v>18</v>
      </c>
      <c r="N14" s="4" t="s">
        <v>24</v>
      </c>
      <c r="O14" s="4" t="s">
        <v>68</v>
      </c>
    </row>
    <row r="15" spans="1:15" ht="24" customHeight="1" x14ac:dyDescent="0.3">
      <c r="A15" s="14" t="s">
        <v>26</v>
      </c>
      <c r="B15" s="6" t="s">
        <v>27</v>
      </c>
      <c r="C15" s="14" t="s">
        <v>65</v>
      </c>
      <c r="D15" s="6" t="s">
        <v>66</v>
      </c>
      <c r="E15" s="7">
        <v>-1600000</v>
      </c>
      <c r="F15" s="7"/>
      <c r="G15" s="7">
        <v>-1600000</v>
      </c>
      <c r="H15" s="8" t="s">
        <v>58</v>
      </c>
      <c r="I15" s="11" t="s">
        <v>69</v>
      </c>
      <c r="J15" s="15"/>
      <c r="K15" s="26">
        <v>45292</v>
      </c>
      <c r="L15" s="26">
        <v>46022</v>
      </c>
      <c r="M15" s="4">
        <f t="shared" si="0"/>
        <v>24</v>
      </c>
      <c r="N15" s="4" t="s">
        <v>24</v>
      </c>
      <c r="O15" s="4" t="s">
        <v>68</v>
      </c>
    </row>
    <row r="16" spans="1:15" ht="24" customHeight="1" x14ac:dyDescent="0.3">
      <c r="A16" s="14" t="s">
        <v>26</v>
      </c>
      <c r="B16" s="6" t="s">
        <v>27</v>
      </c>
      <c r="C16" s="14" t="s">
        <v>65</v>
      </c>
      <c r="D16" s="6" t="s">
        <v>70</v>
      </c>
      <c r="E16" s="7">
        <v>-16969100</v>
      </c>
      <c r="F16" s="7">
        <v>-13291500</v>
      </c>
      <c r="G16" s="7">
        <v>-3677600</v>
      </c>
      <c r="H16" s="8" t="s">
        <v>58</v>
      </c>
      <c r="I16" s="17" t="s">
        <v>71</v>
      </c>
      <c r="J16" s="15"/>
      <c r="K16" s="26">
        <v>43647</v>
      </c>
      <c r="L16" s="26">
        <v>46022</v>
      </c>
      <c r="M16" s="4">
        <f t="shared" si="0"/>
        <v>78</v>
      </c>
      <c r="N16" s="4" t="s">
        <v>24</v>
      </c>
      <c r="O16" s="4" t="s">
        <v>68</v>
      </c>
    </row>
    <row r="17" spans="1:15" ht="24" customHeight="1" x14ac:dyDescent="0.3">
      <c r="A17" s="14" t="s">
        <v>26</v>
      </c>
      <c r="B17" s="6" t="s">
        <v>27</v>
      </c>
      <c r="C17" s="14" t="s">
        <v>65</v>
      </c>
      <c r="D17" s="6" t="s">
        <v>72</v>
      </c>
      <c r="E17" s="7">
        <v>-2740000</v>
      </c>
      <c r="F17" s="7">
        <v>-750000</v>
      </c>
      <c r="G17" s="7">
        <v>-1990000</v>
      </c>
      <c r="H17" s="8" t="s">
        <v>58</v>
      </c>
      <c r="I17" s="17" t="s">
        <v>71</v>
      </c>
      <c r="J17" s="15"/>
      <c r="K17" s="26">
        <v>45017</v>
      </c>
      <c r="L17" s="26">
        <v>46022</v>
      </c>
      <c r="M17" s="4">
        <f t="shared" si="0"/>
        <v>33</v>
      </c>
      <c r="N17" s="4" t="s">
        <v>24</v>
      </c>
      <c r="O17" s="4" t="s">
        <v>68</v>
      </c>
    </row>
    <row r="18" spans="1:15" ht="24" customHeight="1" x14ac:dyDescent="0.3">
      <c r="A18" s="14" t="s">
        <v>26</v>
      </c>
      <c r="B18" s="6" t="s">
        <v>27</v>
      </c>
      <c r="C18" s="14" t="s">
        <v>60</v>
      </c>
      <c r="D18" s="6" t="s">
        <v>73</v>
      </c>
      <c r="E18" s="7">
        <v>-200000</v>
      </c>
      <c r="F18" s="7">
        <v>-133333</v>
      </c>
      <c r="G18" s="7">
        <v>-66667</v>
      </c>
      <c r="H18" s="8" t="s">
        <v>47</v>
      </c>
      <c r="I18" s="11" t="s">
        <v>74</v>
      </c>
      <c r="J18" s="15"/>
      <c r="K18" s="26">
        <v>45323</v>
      </c>
      <c r="L18" s="26">
        <v>45991</v>
      </c>
      <c r="M18" s="4">
        <f t="shared" si="0"/>
        <v>22</v>
      </c>
      <c r="N18" s="4" t="s">
        <v>39</v>
      </c>
      <c r="O18" s="4" t="s">
        <v>25</v>
      </c>
    </row>
    <row r="19" spans="1:15" ht="24" customHeight="1" x14ac:dyDescent="0.3">
      <c r="A19" s="14" t="s">
        <v>26</v>
      </c>
      <c r="B19" s="6" t="s">
        <v>27</v>
      </c>
      <c r="C19" s="14" t="s">
        <v>65</v>
      </c>
      <c r="D19" s="6" t="s">
        <v>75</v>
      </c>
      <c r="E19" s="7">
        <v>-350000</v>
      </c>
      <c r="F19" s="7"/>
      <c r="G19" s="7">
        <v>-350000</v>
      </c>
      <c r="H19" s="8" t="s">
        <v>30</v>
      </c>
      <c r="I19" s="11" t="s">
        <v>76</v>
      </c>
      <c r="J19" s="15"/>
      <c r="K19" s="26">
        <v>39092</v>
      </c>
      <c r="L19" s="26">
        <v>46000</v>
      </c>
      <c r="M19" s="4">
        <f t="shared" si="0"/>
        <v>227</v>
      </c>
      <c r="N19" s="4" t="s">
        <v>19</v>
      </c>
      <c r="O19" s="4" t="s">
        <v>51</v>
      </c>
    </row>
    <row r="20" spans="1:15" ht="24" customHeight="1" x14ac:dyDescent="0.3">
      <c r="A20" s="14" t="s">
        <v>26</v>
      </c>
      <c r="B20" s="5" t="s">
        <v>94</v>
      </c>
      <c r="C20" s="19" t="s">
        <v>80</v>
      </c>
      <c r="D20" s="6" t="s">
        <v>81</v>
      </c>
      <c r="E20" s="7">
        <v>-300000</v>
      </c>
      <c r="F20" s="7">
        <v>0</v>
      </c>
      <c r="G20" s="7">
        <f>E20-F20</f>
        <v>-300000</v>
      </c>
      <c r="H20" s="8" t="s">
        <v>30</v>
      </c>
      <c r="I20" s="20" t="s">
        <v>76</v>
      </c>
      <c r="J20" s="18"/>
      <c r="K20" s="27">
        <v>44000</v>
      </c>
      <c r="L20" s="27">
        <v>45295</v>
      </c>
      <c r="M20" s="18">
        <f t="shared" si="0"/>
        <v>43</v>
      </c>
      <c r="N20" s="4" t="s">
        <v>19</v>
      </c>
    </row>
    <row r="21" spans="1:15" ht="24" customHeight="1" x14ac:dyDescent="0.3">
      <c r="A21" s="14" t="s">
        <v>26</v>
      </c>
      <c r="B21" s="5" t="s">
        <v>94</v>
      </c>
      <c r="C21" s="19" t="s">
        <v>36</v>
      </c>
      <c r="D21" s="6" t="s">
        <v>82</v>
      </c>
      <c r="E21" s="7">
        <v>-300000</v>
      </c>
      <c r="F21" s="7">
        <v>0</v>
      </c>
      <c r="G21" s="7">
        <f t="shared" ref="G21:G27" si="1">E21-F21</f>
        <v>-300000</v>
      </c>
      <c r="H21" s="8" t="s">
        <v>30</v>
      </c>
      <c r="I21" s="20" t="s">
        <v>96</v>
      </c>
      <c r="J21" s="18"/>
      <c r="K21" s="27">
        <v>42906</v>
      </c>
      <c r="L21" s="27">
        <v>45396</v>
      </c>
      <c r="M21" s="18">
        <f t="shared" si="0"/>
        <v>82</v>
      </c>
      <c r="N21" s="4" t="s">
        <v>95</v>
      </c>
    </row>
    <row r="22" spans="1:15" ht="24" customHeight="1" x14ac:dyDescent="0.3">
      <c r="A22" s="14" t="s">
        <v>26</v>
      </c>
      <c r="B22" s="5" t="s">
        <v>94</v>
      </c>
      <c r="C22" s="19" t="s">
        <v>83</v>
      </c>
      <c r="D22" s="6" t="s">
        <v>84</v>
      </c>
      <c r="E22" s="7">
        <v>-1200000</v>
      </c>
      <c r="F22" s="7">
        <v>0</v>
      </c>
      <c r="G22" s="7">
        <f t="shared" si="1"/>
        <v>-1200000</v>
      </c>
      <c r="H22" s="8" t="s">
        <v>58</v>
      </c>
      <c r="I22" s="20" t="s">
        <v>85</v>
      </c>
      <c r="J22" s="18"/>
      <c r="K22" s="27">
        <v>45124</v>
      </c>
      <c r="L22" s="27">
        <v>45368</v>
      </c>
      <c r="M22" s="18">
        <f t="shared" si="0"/>
        <v>9</v>
      </c>
      <c r="N22" s="4" t="s">
        <v>24</v>
      </c>
      <c r="O22" s="4" t="s">
        <v>97</v>
      </c>
    </row>
    <row r="23" spans="1:15" ht="24" customHeight="1" x14ac:dyDescent="0.3">
      <c r="A23" s="14" t="s">
        <v>26</v>
      </c>
      <c r="B23" s="5" t="s">
        <v>94</v>
      </c>
      <c r="C23" s="21" t="s">
        <v>41</v>
      </c>
      <c r="D23" s="6" t="s">
        <v>86</v>
      </c>
      <c r="E23" s="7">
        <v>-1350000</v>
      </c>
      <c r="F23" s="7"/>
      <c r="G23" s="7">
        <f t="shared" si="1"/>
        <v>-1350000</v>
      </c>
      <c r="H23" s="8" t="s">
        <v>58</v>
      </c>
      <c r="I23" s="22" t="s">
        <v>87</v>
      </c>
      <c r="J23" s="18"/>
      <c r="K23" s="27">
        <v>45078</v>
      </c>
      <c r="L23" s="27">
        <v>45443</v>
      </c>
      <c r="M23" s="18">
        <f t="shared" si="0"/>
        <v>12</v>
      </c>
      <c r="N23" s="4" t="s">
        <v>39</v>
      </c>
    </row>
    <row r="24" spans="1:15" ht="24" customHeight="1" x14ac:dyDescent="0.3">
      <c r="A24" s="14" t="s">
        <v>26</v>
      </c>
      <c r="B24" s="5" t="s">
        <v>94</v>
      </c>
      <c r="C24" s="21" t="s">
        <v>45</v>
      </c>
      <c r="D24" s="6" t="s">
        <v>88</v>
      </c>
      <c r="E24" s="7">
        <v>-200000</v>
      </c>
      <c r="F24" s="7">
        <v>0</v>
      </c>
      <c r="G24" s="7">
        <f t="shared" si="1"/>
        <v>-200000</v>
      </c>
      <c r="H24" s="8" t="s">
        <v>30</v>
      </c>
      <c r="I24" s="22" t="s">
        <v>89</v>
      </c>
      <c r="J24" s="18"/>
      <c r="K24" s="27">
        <v>39417</v>
      </c>
      <c r="L24" s="27">
        <v>45473</v>
      </c>
      <c r="M24" s="18">
        <f t="shared" si="0"/>
        <v>199</v>
      </c>
      <c r="N24" s="4" t="s">
        <v>95</v>
      </c>
    </row>
    <row r="25" spans="1:15" ht="24" customHeight="1" x14ac:dyDescent="0.3">
      <c r="A25" s="14" t="s">
        <v>26</v>
      </c>
      <c r="B25" s="5" t="s">
        <v>94</v>
      </c>
      <c r="C25" s="19" t="s">
        <v>52</v>
      </c>
      <c r="D25" s="6" t="s">
        <v>90</v>
      </c>
      <c r="E25" s="7">
        <v>-400000</v>
      </c>
      <c r="F25" s="7"/>
      <c r="G25" s="7">
        <f t="shared" si="1"/>
        <v>-400000</v>
      </c>
      <c r="H25" s="8" t="s">
        <v>58</v>
      </c>
      <c r="I25" s="20" t="s">
        <v>98</v>
      </c>
      <c r="J25" s="18"/>
      <c r="K25" s="27">
        <v>44803</v>
      </c>
      <c r="L25" s="27">
        <v>45533</v>
      </c>
      <c r="M25" s="18">
        <f t="shared" si="0"/>
        <v>24</v>
      </c>
      <c r="N25" s="4" t="s">
        <v>19</v>
      </c>
    </row>
    <row r="26" spans="1:15" ht="24" customHeight="1" x14ac:dyDescent="0.3">
      <c r="A26" s="14" t="s">
        <v>26</v>
      </c>
      <c r="B26" s="5" t="s">
        <v>94</v>
      </c>
      <c r="C26" s="19" t="s">
        <v>60</v>
      </c>
      <c r="D26" s="6" t="s">
        <v>91</v>
      </c>
      <c r="E26" s="7">
        <v>-150000</v>
      </c>
      <c r="F26" s="7"/>
      <c r="G26" s="7">
        <f t="shared" si="1"/>
        <v>-150000</v>
      </c>
      <c r="H26" s="8" t="s">
        <v>30</v>
      </c>
      <c r="I26" s="20" t="s">
        <v>99</v>
      </c>
      <c r="J26" s="18"/>
      <c r="K26" s="27">
        <v>39092</v>
      </c>
      <c r="L26" s="27">
        <v>45596</v>
      </c>
      <c r="M26" s="18">
        <f t="shared" si="0"/>
        <v>214</v>
      </c>
      <c r="N26" s="4" t="s">
        <v>19</v>
      </c>
    </row>
    <row r="27" spans="1:15" ht="24" customHeight="1" x14ac:dyDescent="0.3">
      <c r="A27" s="14" t="s">
        <v>26</v>
      </c>
      <c r="B27" s="5" t="s">
        <v>94</v>
      </c>
      <c r="C27" s="19" t="s">
        <v>65</v>
      </c>
      <c r="D27" s="6" t="s">
        <v>73</v>
      </c>
      <c r="E27" s="7">
        <v>-250000</v>
      </c>
      <c r="F27" s="7">
        <v>-66667</v>
      </c>
      <c r="G27" s="7">
        <f t="shared" si="1"/>
        <v>-183333</v>
      </c>
      <c r="H27" s="8" t="s">
        <v>47</v>
      </c>
      <c r="I27" s="20" t="s">
        <v>100</v>
      </c>
      <c r="J27" s="18"/>
      <c r="K27" s="27">
        <v>45200</v>
      </c>
      <c r="L27" s="27">
        <v>45657</v>
      </c>
      <c r="M27" s="18">
        <f t="shared" si="0"/>
        <v>15</v>
      </c>
      <c r="N27" s="4" t="s">
        <v>39</v>
      </c>
      <c r="O27" s="4" t="s">
        <v>25</v>
      </c>
    </row>
    <row r="28" spans="1:15" ht="24" customHeight="1" x14ac:dyDescent="0.3">
      <c r="A28" s="14" t="s">
        <v>26</v>
      </c>
      <c r="B28" s="5" t="s">
        <v>94</v>
      </c>
      <c r="C28" s="19" t="s">
        <v>65</v>
      </c>
      <c r="D28" s="6" t="s">
        <v>92</v>
      </c>
      <c r="E28" s="7">
        <v>-460000</v>
      </c>
      <c r="F28" s="7"/>
      <c r="G28" s="7">
        <v>-460000</v>
      </c>
      <c r="H28" s="8" t="s">
        <v>30</v>
      </c>
      <c r="I28" s="20" t="s">
        <v>101</v>
      </c>
      <c r="J28" s="18"/>
      <c r="K28" s="27">
        <v>38888</v>
      </c>
      <c r="L28" s="27">
        <v>45657</v>
      </c>
      <c r="M28" s="18">
        <f t="shared" si="0"/>
        <v>223</v>
      </c>
      <c r="N28" s="4" t="s">
        <v>19</v>
      </c>
    </row>
    <row r="29" spans="1:15" ht="24" customHeight="1" x14ac:dyDescent="0.3">
      <c r="A29" s="14" t="s">
        <v>26</v>
      </c>
      <c r="B29" s="5" t="s">
        <v>94</v>
      </c>
      <c r="C29" s="19" t="s">
        <v>65</v>
      </c>
      <c r="D29" s="6" t="s">
        <v>93</v>
      </c>
      <c r="E29" s="7">
        <v>-3600000</v>
      </c>
      <c r="F29" s="7"/>
      <c r="G29" s="7">
        <v>-3600000</v>
      </c>
      <c r="H29" s="8" t="s">
        <v>30</v>
      </c>
      <c r="I29" s="20" t="s">
        <v>102</v>
      </c>
      <c r="J29" s="18"/>
      <c r="K29" s="27">
        <v>45467</v>
      </c>
      <c r="L29" s="27">
        <v>45657</v>
      </c>
      <c r="M29" s="18">
        <f t="shared" si="0"/>
        <v>7</v>
      </c>
      <c r="N29" s="4" t="s">
        <v>19</v>
      </c>
      <c r="O29" s="18" t="s">
        <v>103</v>
      </c>
    </row>
    <row r="30" spans="1:15" ht="24" customHeight="1" x14ac:dyDescent="0.3">
      <c r="A30" s="14" t="s">
        <v>26</v>
      </c>
      <c r="B30" s="5" t="s">
        <v>121</v>
      </c>
      <c r="C30" s="19" t="s">
        <v>80</v>
      </c>
      <c r="D30" s="6" t="s">
        <v>104</v>
      </c>
      <c r="E30" s="7">
        <v>-500000</v>
      </c>
      <c r="F30" s="7">
        <v>0</v>
      </c>
      <c r="G30" s="7">
        <f t="shared" ref="G30:G39" si="2">E30-F30</f>
        <v>-500000</v>
      </c>
      <c r="H30" s="8" t="s">
        <v>30</v>
      </c>
      <c r="I30" s="20" t="s">
        <v>122</v>
      </c>
      <c r="J30" s="27"/>
      <c r="K30" s="27">
        <v>44044</v>
      </c>
      <c r="L30" s="25">
        <v>44957</v>
      </c>
      <c r="M30" s="18">
        <f t="shared" si="0"/>
        <v>30</v>
      </c>
      <c r="N30" s="4" t="s">
        <v>39</v>
      </c>
    </row>
    <row r="31" spans="1:15" ht="24" customHeight="1" x14ac:dyDescent="0.3">
      <c r="A31" s="14" t="s">
        <v>26</v>
      </c>
      <c r="B31" s="5" t="s">
        <v>121</v>
      </c>
      <c r="C31" s="28" t="s">
        <v>80</v>
      </c>
      <c r="D31" s="6" t="s">
        <v>105</v>
      </c>
      <c r="E31" s="7">
        <v>-150000</v>
      </c>
      <c r="F31" s="7">
        <v>0</v>
      </c>
      <c r="G31" s="7">
        <f t="shared" si="2"/>
        <v>-150000</v>
      </c>
      <c r="H31" s="8" t="s">
        <v>30</v>
      </c>
      <c r="I31" s="29" t="s">
        <v>106</v>
      </c>
      <c r="J31" s="27"/>
      <c r="K31" s="27">
        <v>39845</v>
      </c>
      <c r="L31" s="27">
        <v>44957</v>
      </c>
      <c r="M31" s="18">
        <f t="shared" si="0"/>
        <v>168</v>
      </c>
      <c r="N31" s="4" t="s">
        <v>39</v>
      </c>
    </row>
    <row r="32" spans="1:15" ht="24" customHeight="1" x14ac:dyDescent="0.3">
      <c r="A32" s="46" t="s">
        <v>26</v>
      </c>
      <c r="B32" s="66" t="s">
        <v>121</v>
      </c>
      <c r="C32" s="47" t="s">
        <v>80</v>
      </c>
      <c r="D32" s="48" t="s">
        <v>107</v>
      </c>
      <c r="E32" s="49">
        <v>-28612500</v>
      </c>
      <c r="F32" s="49">
        <v>0</v>
      </c>
      <c r="G32" s="49">
        <f t="shared" si="2"/>
        <v>-28612500</v>
      </c>
      <c r="H32" s="50" t="s">
        <v>191</v>
      </c>
      <c r="I32" s="51" t="s">
        <v>108</v>
      </c>
      <c r="J32" s="57"/>
      <c r="K32" s="57">
        <v>42522</v>
      </c>
      <c r="L32" s="57">
        <v>44957</v>
      </c>
      <c r="M32" s="58">
        <f t="shared" si="0"/>
        <v>80</v>
      </c>
      <c r="N32" s="59" t="s">
        <v>32</v>
      </c>
      <c r="O32" s="58"/>
    </row>
    <row r="33" spans="1:15" ht="24" customHeight="1" x14ac:dyDescent="0.3">
      <c r="A33" s="46" t="s">
        <v>26</v>
      </c>
      <c r="B33" s="66" t="s">
        <v>121</v>
      </c>
      <c r="C33" s="52" t="s">
        <v>83</v>
      </c>
      <c r="D33" s="48" t="s">
        <v>84</v>
      </c>
      <c r="E33" s="49">
        <v>-5416000</v>
      </c>
      <c r="F33" s="49">
        <v>0</v>
      </c>
      <c r="G33" s="49">
        <f t="shared" si="2"/>
        <v>-5416000</v>
      </c>
      <c r="H33" s="50" t="s">
        <v>191</v>
      </c>
      <c r="I33" s="53" t="s">
        <v>124</v>
      </c>
      <c r="J33" s="57"/>
      <c r="K33" s="57">
        <v>44593</v>
      </c>
      <c r="L33" s="57">
        <v>44988</v>
      </c>
      <c r="M33" s="58">
        <f t="shared" si="0"/>
        <v>14</v>
      </c>
      <c r="N33" s="59" t="s">
        <v>24</v>
      </c>
      <c r="O33" s="58" t="s">
        <v>125</v>
      </c>
    </row>
    <row r="34" spans="1:15" ht="24" customHeight="1" x14ac:dyDescent="0.3">
      <c r="A34" s="14" t="s">
        <v>26</v>
      </c>
      <c r="B34" s="5" t="s">
        <v>121</v>
      </c>
      <c r="C34" s="19" t="s">
        <v>36</v>
      </c>
      <c r="D34" s="6" t="s">
        <v>109</v>
      </c>
      <c r="E34" s="7">
        <v>-50000</v>
      </c>
      <c r="F34" s="7">
        <v>0</v>
      </c>
      <c r="G34" s="7">
        <f t="shared" si="2"/>
        <v>-50000</v>
      </c>
      <c r="H34" s="8" t="s">
        <v>30</v>
      </c>
      <c r="I34" s="20" t="s">
        <v>123</v>
      </c>
      <c r="J34" s="27"/>
      <c r="K34" s="27">
        <v>44063</v>
      </c>
      <c r="L34" s="27">
        <v>45046</v>
      </c>
      <c r="M34" s="18">
        <f t="shared" si="0"/>
        <v>33</v>
      </c>
      <c r="N34" s="4" t="s">
        <v>19</v>
      </c>
    </row>
    <row r="35" spans="1:15" ht="24" customHeight="1" x14ac:dyDescent="0.3">
      <c r="A35" s="14" t="s">
        <v>26</v>
      </c>
      <c r="B35" s="5" t="s">
        <v>121</v>
      </c>
      <c r="C35" s="19" t="s">
        <v>41</v>
      </c>
      <c r="D35" s="6" t="s">
        <v>196</v>
      </c>
      <c r="E35" s="7">
        <v>-1650000</v>
      </c>
      <c r="F35" s="7">
        <v>-1000000</v>
      </c>
      <c r="G35" s="7">
        <f t="shared" si="2"/>
        <v>-650000</v>
      </c>
      <c r="H35" s="8" t="s">
        <v>30</v>
      </c>
      <c r="I35" s="20" t="s">
        <v>126</v>
      </c>
      <c r="J35" s="27"/>
      <c r="K35" s="27">
        <v>43040</v>
      </c>
      <c r="L35" s="27">
        <v>45077</v>
      </c>
      <c r="M35" s="18">
        <f t="shared" si="0"/>
        <v>67</v>
      </c>
      <c r="N35" s="4" t="s">
        <v>39</v>
      </c>
    </row>
    <row r="36" spans="1:15" ht="24" customHeight="1" x14ac:dyDescent="0.3">
      <c r="A36" s="14" t="s">
        <v>26</v>
      </c>
      <c r="B36" s="5" t="s">
        <v>121</v>
      </c>
      <c r="C36" s="19" t="s">
        <v>45</v>
      </c>
      <c r="D36" s="6" t="s">
        <v>110</v>
      </c>
      <c r="E36" s="7">
        <v>-100000</v>
      </c>
      <c r="F36" s="7">
        <v>0</v>
      </c>
      <c r="G36" s="7">
        <f t="shared" si="2"/>
        <v>-100000</v>
      </c>
      <c r="H36" s="8" t="s">
        <v>30</v>
      </c>
      <c r="I36" s="20" t="s">
        <v>111</v>
      </c>
      <c r="J36" s="27"/>
      <c r="K36" s="27">
        <v>44235</v>
      </c>
      <c r="L36" s="27">
        <v>45084</v>
      </c>
      <c r="M36" s="18">
        <f t="shared" si="0"/>
        <v>28</v>
      </c>
      <c r="N36" s="4" t="s">
        <v>19</v>
      </c>
    </row>
    <row r="37" spans="1:15" ht="24" customHeight="1" x14ac:dyDescent="0.3">
      <c r="A37" s="14" t="s">
        <v>26</v>
      </c>
      <c r="B37" s="5" t="s">
        <v>121</v>
      </c>
      <c r="C37" s="19" t="s">
        <v>45</v>
      </c>
      <c r="D37" s="6" t="s">
        <v>112</v>
      </c>
      <c r="E37" s="7">
        <v>-1400000</v>
      </c>
      <c r="F37" s="7">
        <v>-133333</v>
      </c>
      <c r="G37" s="7">
        <f t="shared" si="2"/>
        <v>-1266667</v>
      </c>
      <c r="H37" s="8" t="s">
        <v>30</v>
      </c>
      <c r="I37" s="20" t="s">
        <v>127</v>
      </c>
      <c r="J37" s="27"/>
      <c r="K37" s="27">
        <v>42887</v>
      </c>
      <c r="L37" s="27">
        <v>45107</v>
      </c>
      <c r="M37" s="18">
        <f t="shared" si="0"/>
        <v>73</v>
      </c>
      <c r="N37" s="4" t="s">
        <v>19</v>
      </c>
    </row>
    <row r="38" spans="1:15" ht="24" customHeight="1" x14ac:dyDescent="0.3">
      <c r="A38" s="14" t="s">
        <v>26</v>
      </c>
      <c r="B38" s="5" t="s">
        <v>121</v>
      </c>
      <c r="C38" s="19" t="s">
        <v>56</v>
      </c>
      <c r="D38" s="6" t="s">
        <v>113</v>
      </c>
      <c r="E38" s="7">
        <v>-200000</v>
      </c>
      <c r="F38" s="7">
        <v>0</v>
      </c>
      <c r="G38" s="7">
        <f t="shared" si="2"/>
        <v>-200000</v>
      </c>
      <c r="H38" s="8" t="s">
        <v>30</v>
      </c>
      <c r="I38" s="30" t="s">
        <v>114</v>
      </c>
      <c r="J38" s="27"/>
      <c r="K38" s="27">
        <v>44599</v>
      </c>
      <c r="L38" s="27">
        <v>45110</v>
      </c>
      <c r="M38" s="18">
        <f t="shared" si="0"/>
        <v>17</v>
      </c>
      <c r="N38" s="4" t="s">
        <v>19</v>
      </c>
    </row>
    <row r="39" spans="1:15" ht="24" customHeight="1" x14ac:dyDescent="0.3">
      <c r="A39" s="14" t="s">
        <v>26</v>
      </c>
      <c r="B39" s="5" t="s">
        <v>121</v>
      </c>
      <c r="C39" s="19" t="s">
        <v>65</v>
      </c>
      <c r="D39" s="6" t="s">
        <v>115</v>
      </c>
      <c r="E39" s="7">
        <v>-300000</v>
      </c>
      <c r="F39" s="7">
        <v>0</v>
      </c>
      <c r="G39" s="7">
        <f t="shared" si="2"/>
        <v>-300000</v>
      </c>
      <c r="H39" s="8" t="s">
        <v>30</v>
      </c>
      <c r="I39" s="30" t="s">
        <v>116</v>
      </c>
      <c r="J39" s="27"/>
      <c r="K39" s="27">
        <v>44761</v>
      </c>
      <c r="L39" s="27">
        <v>45288</v>
      </c>
      <c r="M39" s="18">
        <f t="shared" si="0"/>
        <v>18</v>
      </c>
      <c r="N39" s="4" t="s">
        <v>19</v>
      </c>
    </row>
    <row r="40" spans="1:15" ht="24" customHeight="1" x14ac:dyDescent="0.3">
      <c r="A40" s="14" t="s">
        <v>26</v>
      </c>
      <c r="B40" s="5" t="s">
        <v>121</v>
      </c>
      <c r="C40" s="19" t="s">
        <v>65</v>
      </c>
      <c r="D40" s="6" t="s">
        <v>117</v>
      </c>
      <c r="E40" s="7">
        <v>-14900000</v>
      </c>
      <c r="F40" s="7">
        <v>-7757584</v>
      </c>
      <c r="G40" s="7">
        <f>E40-F40</f>
        <v>-7142416</v>
      </c>
      <c r="H40" s="8" t="s">
        <v>58</v>
      </c>
      <c r="I40" s="20" t="s">
        <v>118</v>
      </c>
      <c r="J40" s="27"/>
      <c r="K40" s="27">
        <v>43466</v>
      </c>
      <c r="L40" s="27">
        <v>45291</v>
      </c>
      <c r="M40" s="18">
        <f t="shared" si="0"/>
        <v>60</v>
      </c>
      <c r="N40" s="4" t="s">
        <v>128</v>
      </c>
    </row>
    <row r="41" spans="1:15" ht="24" customHeight="1" x14ac:dyDescent="0.3">
      <c r="A41" s="14" t="s">
        <v>26</v>
      </c>
      <c r="B41" s="5" t="s">
        <v>121</v>
      </c>
      <c r="C41" s="19" t="s">
        <v>65</v>
      </c>
      <c r="D41" s="6" t="s">
        <v>119</v>
      </c>
      <c r="E41" s="7">
        <v>-37741660</v>
      </c>
      <c r="F41" s="7">
        <f>-37741660+874993</f>
        <v>-36866667</v>
      </c>
      <c r="G41" s="7">
        <f>E41-F41</f>
        <v>-874993</v>
      </c>
      <c r="H41" s="8" t="s">
        <v>58</v>
      </c>
      <c r="I41" s="20" t="s">
        <v>120</v>
      </c>
      <c r="J41" s="27"/>
      <c r="K41" s="27">
        <v>44562</v>
      </c>
      <c r="L41" s="27">
        <v>45291</v>
      </c>
      <c r="M41" s="18">
        <f t="shared" si="0"/>
        <v>24</v>
      </c>
      <c r="N41" s="4" t="s">
        <v>24</v>
      </c>
    </row>
    <row r="42" spans="1:15" ht="24" customHeight="1" x14ac:dyDescent="0.3">
      <c r="A42" s="14" t="s">
        <v>26</v>
      </c>
      <c r="B42" s="5" t="s">
        <v>145</v>
      </c>
      <c r="C42" s="19" t="s">
        <v>28</v>
      </c>
      <c r="D42" s="6" t="s">
        <v>129</v>
      </c>
      <c r="E42" s="7">
        <v>-500000</v>
      </c>
      <c r="F42" s="7"/>
      <c r="G42" s="7">
        <f t="shared" ref="G42:G64" si="3">E42-F42</f>
        <v>-500000</v>
      </c>
      <c r="H42" s="8" t="s">
        <v>22</v>
      </c>
      <c r="I42" s="32" t="s">
        <v>146</v>
      </c>
      <c r="J42" s="27"/>
      <c r="K42" s="27">
        <v>44256</v>
      </c>
      <c r="L42" s="27">
        <v>44620</v>
      </c>
      <c r="M42" s="18">
        <f t="shared" si="0"/>
        <v>12</v>
      </c>
      <c r="N42" s="4" t="s">
        <v>24</v>
      </c>
    </row>
    <row r="43" spans="1:15" ht="24" customHeight="1" x14ac:dyDescent="0.3">
      <c r="A43" s="14" t="s">
        <v>26</v>
      </c>
      <c r="B43" s="67" t="s">
        <v>145</v>
      </c>
      <c r="C43" s="35" t="s">
        <v>28</v>
      </c>
      <c r="D43" s="36" t="s">
        <v>130</v>
      </c>
      <c r="E43" s="7">
        <v>-4342500</v>
      </c>
      <c r="F43" s="7">
        <f>-3005000</f>
        <v>-3005000</v>
      </c>
      <c r="G43" s="7">
        <f t="shared" si="3"/>
        <v>-1337500</v>
      </c>
      <c r="H43" s="8" t="s">
        <v>22</v>
      </c>
      <c r="I43" s="37" t="s">
        <v>148</v>
      </c>
      <c r="K43" s="27">
        <v>44256</v>
      </c>
      <c r="L43" s="27">
        <v>44620</v>
      </c>
      <c r="M43" s="18">
        <f t="shared" si="0"/>
        <v>12</v>
      </c>
      <c r="N43" s="4" t="s">
        <v>147</v>
      </c>
    </row>
    <row r="44" spans="1:15" ht="24" customHeight="1" x14ac:dyDescent="0.3">
      <c r="A44" s="14" t="s">
        <v>26</v>
      </c>
      <c r="B44" s="5" t="s">
        <v>145</v>
      </c>
      <c r="C44" s="19" t="s">
        <v>52</v>
      </c>
      <c r="D44" s="6" t="s">
        <v>131</v>
      </c>
      <c r="E44" s="7">
        <v>-400000</v>
      </c>
      <c r="F44" s="7"/>
      <c r="G44" s="7">
        <f t="shared" si="3"/>
        <v>-400000</v>
      </c>
      <c r="H44" s="8" t="s">
        <v>17</v>
      </c>
      <c r="I44" s="31" t="s">
        <v>150</v>
      </c>
      <c r="K44" s="27">
        <v>43009</v>
      </c>
      <c r="L44" s="27">
        <v>44074</v>
      </c>
      <c r="M44" s="18">
        <f t="shared" si="0"/>
        <v>35</v>
      </c>
      <c r="N44" s="4" t="s">
        <v>149</v>
      </c>
    </row>
    <row r="45" spans="1:15" ht="24" customHeight="1" x14ac:dyDescent="0.3">
      <c r="A45" s="14" t="s">
        <v>26</v>
      </c>
      <c r="B45" s="67" t="s">
        <v>145</v>
      </c>
      <c r="C45" s="35" t="s">
        <v>41</v>
      </c>
      <c r="D45" s="36" t="s">
        <v>132</v>
      </c>
      <c r="E45" s="7">
        <v>-200000</v>
      </c>
      <c r="F45" s="7"/>
      <c r="G45" s="7">
        <f t="shared" si="3"/>
        <v>-200000</v>
      </c>
      <c r="H45" s="8" t="s">
        <v>24</v>
      </c>
      <c r="I45" s="38" t="s">
        <v>152</v>
      </c>
      <c r="J45" s="39"/>
      <c r="K45" s="40">
        <v>43001</v>
      </c>
      <c r="L45" s="40">
        <v>44469</v>
      </c>
      <c r="M45" s="41">
        <f t="shared" si="0"/>
        <v>49</v>
      </c>
      <c r="N45" s="42" t="s">
        <v>24</v>
      </c>
    </row>
    <row r="46" spans="1:15" ht="24" customHeight="1" x14ac:dyDescent="0.3">
      <c r="A46" s="14" t="s">
        <v>26</v>
      </c>
      <c r="B46" s="5" t="s">
        <v>145</v>
      </c>
      <c r="C46" s="19" t="s">
        <v>41</v>
      </c>
      <c r="D46" s="6" t="s">
        <v>133</v>
      </c>
      <c r="E46" s="7">
        <v>-550000</v>
      </c>
      <c r="F46" s="7"/>
      <c r="G46" s="7">
        <f t="shared" si="3"/>
        <v>-550000</v>
      </c>
      <c r="H46" s="8" t="s">
        <v>17</v>
      </c>
      <c r="I46" s="34" t="s">
        <v>153</v>
      </c>
      <c r="K46" s="27">
        <v>43617</v>
      </c>
      <c r="L46" s="27">
        <v>44712</v>
      </c>
      <c r="M46" s="18">
        <f t="shared" si="0"/>
        <v>36</v>
      </c>
      <c r="N46" s="4" t="s">
        <v>149</v>
      </c>
    </row>
    <row r="47" spans="1:15" ht="24" customHeight="1" x14ac:dyDescent="0.3">
      <c r="A47" s="14" t="s">
        <v>26</v>
      </c>
      <c r="B47" s="5" t="s">
        <v>145</v>
      </c>
      <c r="C47" s="19" t="s">
        <v>41</v>
      </c>
      <c r="D47" s="6" t="s">
        <v>134</v>
      </c>
      <c r="E47" s="7">
        <v>-200000</v>
      </c>
      <c r="F47" s="7">
        <v>-100000</v>
      </c>
      <c r="G47" s="7">
        <f t="shared" si="3"/>
        <v>-100000</v>
      </c>
      <c r="H47" s="8" t="s">
        <v>47</v>
      </c>
      <c r="I47" s="34" t="s">
        <v>154</v>
      </c>
      <c r="K47" s="27">
        <v>44032</v>
      </c>
      <c r="L47" s="27">
        <v>44712</v>
      </c>
      <c r="M47" s="18">
        <f t="shared" si="0"/>
        <v>23</v>
      </c>
      <c r="N47" s="4" t="s">
        <v>39</v>
      </c>
    </row>
    <row r="48" spans="1:15" ht="24" customHeight="1" x14ac:dyDescent="0.3">
      <c r="A48" s="14" t="s">
        <v>26</v>
      </c>
      <c r="B48" s="5" t="s">
        <v>145</v>
      </c>
      <c r="C48" s="19" t="s">
        <v>56</v>
      </c>
      <c r="D48" s="6" t="s">
        <v>135</v>
      </c>
      <c r="E48" s="7">
        <v>-400000</v>
      </c>
      <c r="F48" s="7"/>
      <c r="G48" s="7">
        <f t="shared" si="3"/>
        <v>-400000</v>
      </c>
      <c r="H48" s="8" t="s">
        <v>17</v>
      </c>
      <c r="I48" s="31" t="s">
        <v>156</v>
      </c>
      <c r="K48" s="27">
        <v>44409</v>
      </c>
      <c r="L48" s="27">
        <v>44773</v>
      </c>
      <c r="M48" s="18">
        <f t="shared" si="0"/>
        <v>12</v>
      </c>
      <c r="N48" s="4" t="s">
        <v>155</v>
      </c>
    </row>
    <row r="49" spans="1:14" ht="24" customHeight="1" x14ac:dyDescent="0.3">
      <c r="A49" s="14" t="s">
        <v>26</v>
      </c>
      <c r="B49" s="5" t="s">
        <v>145</v>
      </c>
      <c r="C49" s="19" t="s">
        <v>56</v>
      </c>
      <c r="D49" s="6" t="s">
        <v>136</v>
      </c>
      <c r="E49" s="7">
        <v>-250000</v>
      </c>
      <c r="F49" s="7"/>
      <c r="G49" s="7">
        <f t="shared" ref="G49" si="4">E49-F49</f>
        <v>-250000</v>
      </c>
      <c r="H49" s="8" t="s">
        <v>17</v>
      </c>
      <c r="I49" s="31" t="s">
        <v>157</v>
      </c>
      <c r="K49" s="27">
        <v>42317</v>
      </c>
      <c r="L49" s="27">
        <v>44773</v>
      </c>
      <c r="M49" s="18">
        <f t="shared" ref="M49" si="5">DATEDIF(K49,L49,"m")+1</f>
        <v>81</v>
      </c>
      <c r="N49" s="4" t="s">
        <v>39</v>
      </c>
    </row>
    <row r="50" spans="1:14" ht="24" customHeight="1" x14ac:dyDescent="0.3">
      <c r="A50" s="14" t="s">
        <v>26</v>
      </c>
      <c r="B50" s="5" t="s">
        <v>145</v>
      </c>
      <c r="C50" s="19" t="s">
        <v>56</v>
      </c>
      <c r="D50" s="6" t="s">
        <v>136</v>
      </c>
      <c r="E50" s="7">
        <v>-540000</v>
      </c>
      <c r="F50" s="7">
        <v>-234700</v>
      </c>
      <c r="G50" s="7">
        <f t="shared" si="3"/>
        <v>-305300</v>
      </c>
      <c r="H50" s="8" t="s">
        <v>47</v>
      </c>
      <c r="I50" s="31" t="s">
        <v>158</v>
      </c>
      <c r="K50" s="27">
        <v>43040</v>
      </c>
      <c r="L50" s="27">
        <v>44773</v>
      </c>
      <c r="M50" s="18">
        <f t="shared" si="0"/>
        <v>57</v>
      </c>
      <c r="N50" s="4" t="s">
        <v>39</v>
      </c>
    </row>
    <row r="51" spans="1:14" ht="24" customHeight="1" x14ac:dyDescent="0.3">
      <c r="A51" s="14" t="s">
        <v>26</v>
      </c>
      <c r="B51" s="5" t="s">
        <v>145</v>
      </c>
      <c r="C51" s="19" t="s">
        <v>56</v>
      </c>
      <c r="D51" s="6" t="s">
        <v>137</v>
      </c>
      <c r="E51" s="7">
        <v>-748000</v>
      </c>
      <c r="F51" s="7">
        <v>-500000</v>
      </c>
      <c r="G51" s="7">
        <f t="shared" si="3"/>
        <v>-248000</v>
      </c>
      <c r="H51" s="8" t="s">
        <v>24</v>
      </c>
      <c r="I51" s="33" t="s">
        <v>159</v>
      </c>
      <c r="K51" s="27">
        <v>43678</v>
      </c>
      <c r="L51" s="27">
        <v>44773</v>
      </c>
      <c r="M51" s="18">
        <f t="shared" si="0"/>
        <v>36</v>
      </c>
      <c r="N51" s="4" t="s">
        <v>24</v>
      </c>
    </row>
    <row r="52" spans="1:14" ht="24" customHeight="1" x14ac:dyDescent="0.3">
      <c r="A52" s="14" t="s">
        <v>26</v>
      </c>
      <c r="B52" s="5" t="s">
        <v>145</v>
      </c>
      <c r="C52" s="19" t="s">
        <v>52</v>
      </c>
      <c r="D52" s="6" t="s">
        <v>138</v>
      </c>
      <c r="E52" s="7">
        <v>-100000</v>
      </c>
      <c r="F52" s="7"/>
      <c r="G52" s="7">
        <f t="shared" si="3"/>
        <v>-100000</v>
      </c>
      <c r="H52" s="8" t="s">
        <v>17</v>
      </c>
      <c r="I52" s="31" t="s">
        <v>160</v>
      </c>
      <c r="K52" s="27">
        <v>41296</v>
      </c>
      <c r="L52" s="27">
        <v>44803</v>
      </c>
      <c r="M52" s="18">
        <f t="shared" si="0"/>
        <v>116</v>
      </c>
      <c r="N52" s="4" t="s">
        <v>155</v>
      </c>
    </row>
    <row r="53" spans="1:14" ht="24" customHeight="1" x14ac:dyDescent="0.3">
      <c r="A53" s="14" t="s">
        <v>26</v>
      </c>
      <c r="B53" s="5" t="s">
        <v>145</v>
      </c>
      <c r="C53" s="19" t="s">
        <v>52</v>
      </c>
      <c r="D53" s="6" t="s">
        <v>139</v>
      </c>
      <c r="E53" s="7">
        <v>-500000</v>
      </c>
      <c r="F53" s="7"/>
      <c r="G53" s="7">
        <f t="shared" si="3"/>
        <v>-500000</v>
      </c>
      <c r="H53" s="8" t="s">
        <v>17</v>
      </c>
      <c r="I53" s="29" t="s">
        <v>161</v>
      </c>
      <c r="K53" s="27">
        <v>42753</v>
      </c>
      <c r="L53" s="27">
        <v>44803</v>
      </c>
      <c r="M53" s="18">
        <f t="shared" si="0"/>
        <v>68</v>
      </c>
      <c r="N53" s="4" t="s">
        <v>149</v>
      </c>
    </row>
    <row r="54" spans="1:14" ht="24" customHeight="1" x14ac:dyDescent="0.3">
      <c r="A54" s="14" t="s">
        <v>26</v>
      </c>
      <c r="B54" s="5" t="s">
        <v>145</v>
      </c>
      <c r="C54" s="19" t="s">
        <v>60</v>
      </c>
      <c r="D54" s="6" t="s">
        <v>140</v>
      </c>
      <c r="E54" s="7">
        <v>-240000</v>
      </c>
      <c r="F54" s="7"/>
      <c r="G54" s="7">
        <f t="shared" si="3"/>
        <v>-240000</v>
      </c>
      <c r="H54" s="8" t="s">
        <v>17</v>
      </c>
      <c r="I54" s="29" t="s">
        <v>162</v>
      </c>
      <c r="K54" s="27">
        <v>42373</v>
      </c>
      <c r="L54" s="27">
        <v>44889</v>
      </c>
      <c r="M54" s="18">
        <f t="shared" si="0"/>
        <v>83</v>
      </c>
      <c r="N54" s="4" t="s">
        <v>155</v>
      </c>
    </row>
    <row r="55" spans="1:14" ht="24" customHeight="1" x14ac:dyDescent="0.3">
      <c r="A55" s="14" t="s">
        <v>26</v>
      </c>
      <c r="B55" s="5" t="s">
        <v>145</v>
      </c>
      <c r="C55" s="19" t="s">
        <v>173</v>
      </c>
      <c r="D55" s="6" t="s">
        <v>141</v>
      </c>
      <c r="E55" s="7">
        <v>-500000</v>
      </c>
      <c r="F55" s="7"/>
      <c r="G55" s="7">
        <f t="shared" si="3"/>
        <v>-500000</v>
      </c>
      <c r="H55" s="8" t="s">
        <v>17</v>
      </c>
      <c r="I55" s="29" t="s">
        <v>164</v>
      </c>
      <c r="K55" s="27">
        <v>44333</v>
      </c>
      <c r="L55" s="27">
        <v>44865</v>
      </c>
      <c r="M55" s="18">
        <f t="shared" si="0"/>
        <v>18</v>
      </c>
      <c r="N55" s="4" t="s">
        <v>149</v>
      </c>
    </row>
    <row r="56" spans="1:14" ht="24" customHeight="1" x14ac:dyDescent="0.3">
      <c r="A56" s="14" t="s">
        <v>26</v>
      </c>
      <c r="B56" s="5" t="s">
        <v>145</v>
      </c>
      <c r="C56" s="19" t="s">
        <v>173</v>
      </c>
      <c r="D56" s="6" t="s">
        <v>142</v>
      </c>
      <c r="E56" s="7">
        <v>-500000</v>
      </c>
      <c r="F56" s="7"/>
      <c r="G56" s="7">
        <f t="shared" si="3"/>
        <v>-500000</v>
      </c>
      <c r="H56" s="8" t="s">
        <v>22</v>
      </c>
      <c r="I56" s="29" t="s">
        <v>108</v>
      </c>
      <c r="K56" s="27">
        <v>44676</v>
      </c>
      <c r="L56" s="27">
        <v>44849</v>
      </c>
      <c r="M56" s="18">
        <f t="shared" si="0"/>
        <v>6</v>
      </c>
      <c r="N56" s="4" t="s">
        <v>155</v>
      </c>
    </row>
    <row r="57" spans="1:14" ht="24" customHeight="1" x14ac:dyDescent="0.3">
      <c r="A57" s="14" t="s">
        <v>26</v>
      </c>
      <c r="B57" s="5" t="s">
        <v>145</v>
      </c>
      <c r="C57" s="19" t="s">
        <v>65</v>
      </c>
      <c r="D57" s="6" t="s">
        <v>143</v>
      </c>
      <c r="E57" s="7">
        <v>-300000</v>
      </c>
      <c r="F57" s="7"/>
      <c r="G57" s="7">
        <f t="shared" si="3"/>
        <v>-300000</v>
      </c>
      <c r="H57" s="8" t="s">
        <v>17</v>
      </c>
      <c r="I57" s="29" t="s">
        <v>163</v>
      </c>
      <c r="K57" s="27">
        <v>44348</v>
      </c>
      <c r="L57" s="27">
        <v>44926</v>
      </c>
      <c r="M57" s="18">
        <f t="shared" si="0"/>
        <v>19</v>
      </c>
      <c r="N57" s="4" t="s">
        <v>155</v>
      </c>
    </row>
    <row r="58" spans="1:14" ht="24" customHeight="1" x14ac:dyDescent="0.3">
      <c r="A58" s="14" t="s">
        <v>26</v>
      </c>
      <c r="B58" s="5" t="s">
        <v>171</v>
      </c>
      <c r="C58" s="19" t="s">
        <v>65</v>
      </c>
      <c r="D58" s="6" t="s">
        <v>165</v>
      </c>
      <c r="E58" s="7">
        <v>-300000</v>
      </c>
      <c r="F58" s="7">
        <v>0</v>
      </c>
      <c r="G58" s="7">
        <f t="shared" si="3"/>
        <v>-300000</v>
      </c>
      <c r="H58" s="8" t="s">
        <v>17</v>
      </c>
      <c r="I58" s="29" t="s">
        <v>195</v>
      </c>
      <c r="K58" s="27">
        <v>43101</v>
      </c>
      <c r="L58" s="27">
        <v>44196</v>
      </c>
      <c r="M58" s="18">
        <f t="shared" si="0"/>
        <v>36</v>
      </c>
      <c r="N58" s="4" t="s">
        <v>44</v>
      </c>
    </row>
    <row r="59" spans="1:14" ht="24" customHeight="1" x14ac:dyDescent="0.3">
      <c r="A59" s="14" t="s">
        <v>26</v>
      </c>
      <c r="B59" s="5" t="s">
        <v>171</v>
      </c>
      <c r="C59" s="19" t="s">
        <v>65</v>
      </c>
      <c r="D59" s="6" t="s">
        <v>166</v>
      </c>
      <c r="E59" s="7">
        <v>-2100000</v>
      </c>
      <c r="F59" s="7">
        <v>0</v>
      </c>
      <c r="G59" s="7">
        <f t="shared" si="3"/>
        <v>-2100000</v>
      </c>
      <c r="H59" s="8" t="s">
        <v>17</v>
      </c>
      <c r="I59" s="29" t="s">
        <v>174</v>
      </c>
      <c r="K59" s="27">
        <v>43831</v>
      </c>
      <c r="L59" s="27">
        <v>44196</v>
      </c>
      <c r="M59" s="18">
        <f t="shared" si="0"/>
        <v>12</v>
      </c>
      <c r="N59" s="4" t="s">
        <v>44</v>
      </c>
    </row>
    <row r="60" spans="1:14" ht="24" customHeight="1" x14ac:dyDescent="0.3">
      <c r="A60" s="14" t="s">
        <v>26</v>
      </c>
      <c r="B60" s="5" t="s">
        <v>171</v>
      </c>
      <c r="C60" s="19" t="s">
        <v>80</v>
      </c>
      <c r="D60" s="6" t="s">
        <v>167</v>
      </c>
      <c r="E60" s="7">
        <v>-3212550</v>
      </c>
      <c r="F60" s="7">
        <v>-915000</v>
      </c>
      <c r="G60" s="7">
        <f t="shared" si="3"/>
        <v>-2297550</v>
      </c>
      <c r="H60" s="8" t="s">
        <v>22</v>
      </c>
      <c r="I60" s="29" t="s">
        <v>177</v>
      </c>
      <c r="K60" s="27">
        <v>42401</v>
      </c>
      <c r="L60" s="27">
        <v>44227</v>
      </c>
      <c r="M60" s="18">
        <f t="shared" si="0"/>
        <v>60</v>
      </c>
      <c r="N60" s="4" t="s">
        <v>24</v>
      </c>
    </row>
    <row r="61" spans="1:14" ht="24" customHeight="1" x14ac:dyDescent="0.3">
      <c r="A61" s="14" t="s">
        <v>26</v>
      </c>
      <c r="B61" s="5" t="s">
        <v>171</v>
      </c>
      <c r="C61" s="19" t="s">
        <v>80</v>
      </c>
      <c r="D61" s="6" t="s">
        <v>167</v>
      </c>
      <c r="E61" s="7">
        <v>-1094000</v>
      </c>
      <c r="F61" s="7">
        <v>0</v>
      </c>
      <c r="G61" s="7">
        <f t="shared" si="3"/>
        <v>-1094000</v>
      </c>
      <c r="H61" s="8" t="s">
        <v>22</v>
      </c>
      <c r="I61" s="29" t="s">
        <v>177</v>
      </c>
      <c r="K61" s="27">
        <v>42401</v>
      </c>
      <c r="L61" s="27">
        <v>44227</v>
      </c>
      <c r="M61" s="18">
        <f t="shared" si="0"/>
        <v>60</v>
      </c>
      <c r="N61" s="4" t="s">
        <v>24</v>
      </c>
    </row>
    <row r="62" spans="1:14" ht="24" customHeight="1" x14ac:dyDescent="0.3">
      <c r="A62" s="14" t="s">
        <v>26</v>
      </c>
      <c r="B62" s="5" t="s">
        <v>171</v>
      </c>
      <c r="C62" s="19" t="s">
        <v>41</v>
      </c>
      <c r="D62" s="6" t="s">
        <v>168</v>
      </c>
      <c r="E62" s="7">
        <v>-700000</v>
      </c>
      <c r="F62" s="7">
        <v>0</v>
      </c>
      <c r="G62" s="7">
        <f t="shared" si="3"/>
        <v>-700000</v>
      </c>
      <c r="H62" s="8" t="s">
        <v>17</v>
      </c>
      <c r="I62" s="29" t="s">
        <v>175</v>
      </c>
      <c r="K62" s="27">
        <v>42866</v>
      </c>
      <c r="L62" s="27">
        <v>44326</v>
      </c>
      <c r="M62" s="18">
        <f t="shared" si="0"/>
        <v>48</v>
      </c>
      <c r="N62" s="4" t="s">
        <v>172</v>
      </c>
    </row>
    <row r="63" spans="1:14" ht="24" customHeight="1" x14ac:dyDescent="0.3">
      <c r="A63" s="14" t="s">
        <v>26</v>
      </c>
      <c r="B63" s="5" t="s">
        <v>171</v>
      </c>
      <c r="C63" s="19" t="s">
        <v>41</v>
      </c>
      <c r="D63" s="6" t="s">
        <v>168</v>
      </c>
      <c r="E63" s="7">
        <v>-90000</v>
      </c>
      <c r="F63" s="7">
        <v>0</v>
      </c>
      <c r="G63" s="7">
        <f t="shared" si="3"/>
        <v>-90000</v>
      </c>
      <c r="H63" s="8" t="s">
        <v>17</v>
      </c>
      <c r="I63" s="29" t="s">
        <v>175</v>
      </c>
      <c r="K63" s="27">
        <v>43556</v>
      </c>
      <c r="L63" s="27">
        <v>44347</v>
      </c>
      <c r="M63" s="18">
        <f t="shared" si="0"/>
        <v>26</v>
      </c>
      <c r="N63" s="4" t="s">
        <v>172</v>
      </c>
    </row>
    <row r="64" spans="1:14" ht="24" customHeight="1" x14ac:dyDescent="0.3">
      <c r="A64" s="14" t="s">
        <v>26</v>
      </c>
      <c r="B64" s="5" t="s">
        <v>171</v>
      </c>
      <c r="C64" s="19" t="s">
        <v>56</v>
      </c>
      <c r="D64" s="6" t="s">
        <v>169</v>
      </c>
      <c r="E64" s="7">
        <v>-500000</v>
      </c>
      <c r="F64" s="7">
        <v>0</v>
      </c>
      <c r="G64" s="7">
        <f t="shared" si="3"/>
        <v>-500000</v>
      </c>
      <c r="H64" s="8" t="s">
        <v>17</v>
      </c>
      <c r="I64" s="29" t="s">
        <v>176</v>
      </c>
      <c r="K64" s="27">
        <v>43101</v>
      </c>
      <c r="L64" s="27">
        <v>44408</v>
      </c>
      <c r="M64" s="18">
        <f t="shared" si="0"/>
        <v>43</v>
      </c>
      <c r="N64" s="4" t="s">
        <v>44</v>
      </c>
    </row>
    <row r="66" spans="11:24" ht="24" customHeight="1" x14ac:dyDescent="0.3">
      <c r="K66" s="69"/>
      <c r="L66" s="70" t="s">
        <v>178</v>
      </c>
      <c r="M66" s="70"/>
      <c r="N66" s="70" t="s">
        <v>179</v>
      </c>
      <c r="O66" s="70"/>
      <c r="P66" s="70" t="s">
        <v>180</v>
      </c>
      <c r="Q66" s="70"/>
      <c r="R66" s="70" t="s">
        <v>181</v>
      </c>
      <c r="S66" s="70"/>
      <c r="T66" s="70" t="s">
        <v>182</v>
      </c>
      <c r="U66" s="70"/>
    </row>
    <row r="67" spans="11:24" ht="24" customHeight="1" x14ac:dyDescent="0.3">
      <c r="K67" s="69" t="s">
        <v>7</v>
      </c>
      <c r="L67" s="71" t="s">
        <v>78</v>
      </c>
      <c r="M67" s="71" t="s">
        <v>26</v>
      </c>
      <c r="N67" s="71" t="s">
        <v>78</v>
      </c>
      <c r="O67" s="71" t="s">
        <v>26</v>
      </c>
      <c r="P67" s="71" t="s">
        <v>78</v>
      </c>
      <c r="Q67" s="71" t="s">
        <v>26</v>
      </c>
      <c r="R67" s="71" t="s">
        <v>78</v>
      </c>
      <c r="S67" s="71" t="s">
        <v>26</v>
      </c>
      <c r="T67" s="71" t="s">
        <v>78</v>
      </c>
      <c r="U67" s="71" t="s">
        <v>26</v>
      </c>
    </row>
    <row r="68" spans="11:24" ht="24" customHeight="1" x14ac:dyDescent="0.3">
      <c r="K68" s="60" t="s">
        <v>30</v>
      </c>
      <c r="L68" s="61">
        <v>10150000</v>
      </c>
      <c r="M68" s="61">
        <v>-7050000</v>
      </c>
      <c r="N68" s="61">
        <v>9700000</v>
      </c>
      <c r="O68" s="61">
        <v>-5010000</v>
      </c>
      <c r="P68" s="61">
        <v>5500000</v>
      </c>
      <c r="Q68" s="61">
        <f>-37245167+28612500+5416000</f>
        <v>-3216667</v>
      </c>
      <c r="R68" s="61">
        <v>14846000</v>
      </c>
      <c r="S68" s="61">
        <v>-3240000</v>
      </c>
      <c r="T68" s="61">
        <f>11590000-3700000</f>
        <v>7890000</v>
      </c>
      <c r="U68" s="61">
        <v>-3690000</v>
      </c>
      <c r="V68" s="43"/>
      <c r="W68" s="43"/>
      <c r="X68" s="43"/>
    </row>
    <row r="69" spans="11:24" ht="24" customHeight="1" x14ac:dyDescent="0.3">
      <c r="K69" s="60" t="s">
        <v>58</v>
      </c>
      <c r="L69" s="61">
        <v>4316000</v>
      </c>
      <c r="M69" s="61">
        <v>-12427600</v>
      </c>
      <c r="N69" s="61">
        <v>9170000</v>
      </c>
      <c r="O69" s="61">
        <v>-2950000</v>
      </c>
      <c r="P69" s="61">
        <v>6043443</v>
      </c>
      <c r="Q69" s="61">
        <v>-8017409</v>
      </c>
      <c r="R69" s="61">
        <v>1650000</v>
      </c>
      <c r="S69" s="61">
        <v>-2337500</v>
      </c>
      <c r="T69" s="61">
        <v>2067500</v>
      </c>
      <c r="U69" s="61">
        <v>-3391550</v>
      </c>
      <c r="V69" s="43"/>
      <c r="W69" s="43"/>
      <c r="X69" s="43"/>
    </row>
    <row r="70" spans="11:24" ht="24" customHeight="1" thickBot="1" x14ac:dyDescent="0.35">
      <c r="K70" s="64" t="s">
        <v>79</v>
      </c>
      <c r="L70" s="65">
        <v>0</v>
      </c>
      <c r="M70" s="65">
        <v>-186667</v>
      </c>
      <c r="N70" s="65">
        <v>66667</v>
      </c>
      <c r="O70" s="65">
        <v>-183333</v>
      </c>
      <c r="P70" s="65">
        <v>183334</v>
      </c>
      <c r="Q70" s="65"/>
      <c r="R70" s="65">
        <v>450000</v>
      </c>
      <c r="S70" s="65">
        <v>-853300</v>
      </c>
      <c r="T70" s="65">
        <v>1165834</v>
      </c>
      <c r="U70" s="65"/>
      <c r="V70" s="43"/>
      <c r="W70" s="43"/>
      <c r="X70" s="43"/>
    </row>
    <row r="71" spans="11:24" ht="24" customHeight="1" thickTop="1" x14ac:dyDescent="0.3">
      <c r="K71" s="62"/>
      <c r="L71" s="63">
        <f>SUBTOTAL(9,L68:L70)</f>
        <v>14466000</v>
      </c>
      <c r="M71" s="63">
        <f>SUBTOTAL(9,M68:M70)</f>
        <v>-19664267</v>
      </c>
      <c r="N71" s="63">
        <f>SUBTOTAL(9,N68:N70)</f>
        <v>18936667</v>
      </c>
      <c r="O71" s="63">
        <f>SUBTOTAL(9,O68:O70)</f>
        <v>-8143333</v>
      </c>
      <c r="P71" s="63">
        <f>SUBTOTAL(9,P68:P70)</f>
        <v>11726777</v>
      </c>
      <c r="Q71" s="63">
        <f>SUBTOTAL(9,Q68:Q70)</f>
        <v>-11234076</v>
      </c>
      <c r="R71" s="63">
        <f>SUBTOTAL(9,R68:R70)</f>
        <v>16946000</v>
      </c>
      <c r="S71" s="63">
        <f>SUBTOTAL(9,S68:S70)</f>
        <v>-6430800</v>
      </c>
      <c r="T71" s="63">
        <f>SUBTOTAL(9,T68:T70)</f>
        <v>11123334</v>
      </c>
      <c r="U71" s="63">
        <f>SUBTOTAL(9,U68:U70)</f>
        <v>-7081550</v>
      </c>
      <c r="V71" s="43"/>
      <c r="W71" s="43"/>
      <c r="X71" s="43"/>
    </row>
    <row r="72" spans="11:24" ht="24" customHeight="1" x14ac:dyDescent="0.3">
      <c r="K72" s="54"/>
      <c r="L72" s="56"/>
      <c r="M72" s="56"/>
      <c r="N72" s="55"/>
      <c r="O72" s="56"/>
      <c r="P72" s="55"/>
      <c r="Q72" s="55"/>
      <c r="R72" s="55"/>
      <c r="S72" s="55"/>
      <c r="T72" s="55"/>
      <c r="U72" s="55"/>
      <c r="V72" s="43"/>
      <c r="W72" s="43"/>
      <c r="X72" s="43"/>
    </row>
    <row r="73" spans="11:24" ht="24" customHeight="1" x14ac:dyDescent="0.3">
      <c r="K73" s="54"/>
      <c r="L73" s="54"/>
      <c r="M73" s="54"/>
      <c r="N73" s="45"/>
      <c r="O73" s="54"/>
      <c r="P73" s="45" t="s">
        <v>193</v>
      </c>
      <c r="Q73" s="55">
        <v>28612500</v>
      </c>
      <c r="R73" s="45"/>
      <c r="S73" s="45"/>
      <c r="T73" s="45"/>
      <c r="U73" s="45"/>
    </row>
    <row r="74" spans="11:24" ht="24" customHeight="1" x14ac:dyDescent="0.3">
      <c r="K74" s="54"/>
      <c r="L74" s="54"/>
      <c r="M74" s="54"/>
      <c r="N74" s="45"/>
      <c r="O74" s="54"/>
      <c r="P74" s="45" t="s">
        <v>192</v>
      </c>
      <c r="Q74" s="55">
        <v>5416000</v>
      </c>
      <c r="R74" s="45"/>
      <c r="S74" s="45"/>
      <c r="T74" s="45"/>
      <c r="U74" s="45"/>
    </row>
    <row r="75" spans="11:24" ht="24" customHeight="1" x14ac:dyDescent="0.3">
      <c r="K75" s="54"/>
      <c r="L75" s="54"/>
      <c r="M75" s="54"/>
      <c r="N75" s="45"/>
      <c r="O75" s="54"/>
      <c r="P75" s="45" t="s">
        <v>194</v>
      </c>
      <c r="Q75" s="55">
        <v>3800000</v>
      </c>
      <c r="R75" s="45"/>
      <c r="S75" s="45"/>
      <c r="T75" s="45"/>
      <c r="U75" s="45"/>
    </row>
    <row r="76" spans="11:24" ht="24" customHeight="1" x14ac:dyDescent="0.3">
      <c r="Q76" s="43"/>
    </row>
  </sheetData>
  <autoFilter ref="A1:O64" xr:uid="{B04FA23A-79BA-4F4C-9778-F03FB4F583D9}"/>
  <mergeCells count="5">
    <mergeCell ref="L66:M66"/>
    <mergeCell ref="N66:O66"/>
    <mergeCell ref="P66:Q66"/>
    <mergeCell ref="R66:S66"/>
    <mergeCell ref="T66:U6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미</dc:creator>
  <cp:lastModifiedBy>한 미</cp:lastModifiedBy>
  <dcterms:created xsi:type="dcterms:W3CDTF">2026-01-23T08:08:57Z</dcterms:created>
  <dcterms:modified xsi:type="dcterms:W3CDTF">2026-01-26T05:53:41Z</dcterms:modified>
</cp:coreProperties>
</file>